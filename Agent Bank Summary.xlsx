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featurePropertyBag/featurePropertyBag.xml" ContentType="application/vnd.ms-excel.featurepropertybag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Relationship Id="rId4" Type="http://schemas.openxmlformats.org/officeDocument/2006/relationships/custom-properties" Target="/docProps/custom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tabRatio="500"/>
  </bookViews>
  <sheets>
    <sheet r:id="rId1" name="Agent Bank Summary" sheetId="1"/>
    <sheet r:id="rId2" name="BB Templates" sheetId="2"/>
  </sheets>
  <calcPr calcId="0" iterateCount="100" iterateDelta="0.001"/>
</workbook>
</file>

<file path=xl/sharedStrings.xml><?xml version="1.0" encoding="utf-8"?>
<sst xmlns="http://schemas.openxmlformats.org/spreadsheetml/2006/main" count="262" uniqueCount="262">
  <si>
    <t>Agent</t>
  </si>
  <si>
    <t>Borrower</t>
  </si>
  <si>
    <t>Account Number</t>
  </si>
  <si>
    <t>Loan Amount</t>
  </si>
  <si>
    <t>Maturity Date</t>
  </si>
  <si>
    <t>Facility Status</t>
  </si>
  <si>
    <t>Facility Status Date</t>
  </si>
  <si>
    <t>Bank of America</t>
  </si>
  <si>
    <t>HIG LBO IV, BH III, GB&amp;E III, IV [U]</t>
  </si>
  <si>
    <t>5VX1796</t>
  </si>
  <si>
    <t>Active</t>
  </si>
  <si>
    <t>Brookfield Strat RE IV</t>
  </si>
  <si>
    <t>5VW6859</t>
  </si>
  <si>
    <t>Carlyle Realty IX</t>
  </si>
  <si>
    <t>5VW7911</t>
  </si>
  <si>
    <t>Crestview II, III, VI [U]</t>
  </si>
  <si>
    <t>5VX6608</t>
  </si>
  <si>
    <t>Carlyle Buyout Umbrella</t>
  </si>
  <si>
    <t>5VZ8873</t>
  </si>
  <si>
    <t>Oaktree Opportunities Fund Xb</t>
  </si>
  <si>
    <t>Castlelake Aviation IV Stable Yield LP</t>
  </si>
  <si>
    <t>5VZ5764</t>
  </si>
  <si>
    <t>Oaktree Opportunities Fund Xb LP</t>
  </si>
  <si>
    <t>5VX6615</t>
  </si>
  <si>
    <t>Platinum Eq VI</t>
  </si>
  <si>
    <t>5VX0814</t>
  </si>
  <si>
    <t>Great Hill Equity Partners VIII</t>
  </si>
  <si>
    <t>5VX2978</t>
  </si>
  <si>
    <t>THL Eq IX</t>
  </si>
  <si>
    <t>5VY4074</t>
  </si>
  <si>
    <t>Platinum Eq IV</t>
  </si>
  <si>
    <t>5VW3197</t>
  </si>
  <si>
    <t>Brookfield Strat RE III</t>
  </si>
  <si>
    <t>5VX4741</t>
  </si>
  <si>
    <t>Platinum Eq Small Cap</t>
  </si>
  <si>
    <t>5VX1179</t>
  </si>
  <si>
    <t>HarbourVest Dover St. X, X AIF, XI [U]</t>
  </si>
  <si>
    <t>5VX4742</t>
  </si>
  <si>
    <t>Thoma Bravo Fund XV LP</t>
  </si>
  <si>
    <t>5VW4026</t>
  </si>
  <si>
    <t>Totals Loan Amount:</t>
  </si>
  <si>
    <t>BMO</t>
  </si>
  <si>
    <t>TPG Growth VI</t>
  </si>
  <si>
    <t>5VY3937</t>
  </si>
  <si>
    <t>Brookfield Capital Partners VI L.P.</t>
  </si>
  <si>
    <t>5VW7838</t>
  </si>
  <si>
    <t>BNYM</t>
  </si>
  <si>
    <t>OHA CA Customized Credit Fund LP</t>
  </si>
  <si>
    <t>5VW6327</t>
  </si>
  <si>
    <t>CIBC</t>
  </si>
  <si>
    <t>TPG Tech Adj II</t>
  </si>
  <si>
    <t>5VW0525</t>
  </si>
  <si>
    <t>City National Bank</t>
  </si>
  <si>
    <t>Kayne Anderson Real Estate Opportunistic Debt II</t>
  </si>
  <si>
    <t>5VAA120</t>
  </si>
  <si>
    <t>JP Morgan</t>
  </si>
  <si>
    <t>KKR Ascendant</t>
  </si>
  <si>
    <t>5VX8194</t>
  </si>
  <si>
    <t>Sculptor Real Estate Fund V</t>
  </si>
  <si>
    <t>5VZ7360</t>
  </si>
  <si>
    <t>Aurora Equity Partners 7</t>
  </si>
  <si>
    <t>5VY9755</t>
  </si>
  <si>
    <t>Francisco Partner Agility III</t>
  </si>
  <si>
    <t>5VX8197</t>
  </si>
  <si>
    <t>Aurora Eq VI</t>
  </si>
  <si>
    <t>5VW8105</t>
  </si>
  <si>
    <t>Veritas VI, VII, VIII, … [U]</t>
  </si>
  <si>
    <t>5VU7840</t>
  </si>
  <si>
    <t>Lloyds</t>
  </si>
  <si>
    <t>Harbourvest 2000 Global Fund</t>
  </si>
  <si>
    <t>5VY5270</t>
  </si>
  <si>
    <t>M&amp;T Bank</t>
  </si>
  <si>
    <t>Silver Point Specialty Credit III Master Fu</t>
  </si>
  <si>
    <t>5VX3195</t>
  </si>
  <si>
    <t>Mizuho</t>
  </si>
  <si>
    <t>Roark Capital Partners VII</t>
  </si>
  <si>
    <t>5VZ2053</t>
  </si>
  <si>
    <t>Roark Capital Partners VI</t>
  </si>
  <si>
    <t>5VZ2054</t>
  </si>
  <si>
    <t>Morgan Stanley</t>
  </si>
  <si>
    <t>HIG MM LBO IV</t>
  </si>
  <si>
    <t>5VX1795</t>
  </si>
  <si>
    <t>HIG MM LBO III</t>
  </si>
  <si>
    <t>5VU6465</t>
  </si>
  <si>
    <t>Lonestar Fund XII</t>
  </si>
  <si>
    <t>5VX2839</t>
  </si>
  <si>
    <t>Resolute VI</t>
  </si>
  <si>
    <t>5VY0239</t>
  </si>
  <si>
    <t>Natixis</t>
  </si>
  <si>
    <t>CD&amp;R X, VI, XII [U]</t>
  </si>
  <si>
    <t>5VX4757</t>
  </si>
  <si>
    <t>5VY8943</t>
  </si>
  <si>
    <t>PNC</t>
  </si>
  <si>
    <t>Strategic Value Spec Sit V</t>
  </si>
  <si>
    <t>5VX6327</t>
  </si>
  <si>
    <t>Silicon Valley Bank (A division of First Citizens Bank)</t>
  </si>
  <si>
    <t>Audax Private Equity Fund VII LP (Uncommitted)</t>
  </si>
  <si>
    <t>5VAB068</t>
  </si>
  <si>
    <t>Arctos Keystone Partners Fund I (Committed)</t>
  </si>
  <si>
    <t>5VZ9848</t>
  </si>
  <si>
    <t>Arctos Sports Fund II</t>
  </si>
  <si>
    <t>5VY4509</t>
  </si>
  <si>
    <t>Audax Private Equity Fund VII LP (Committed)</t>
  </si>
  <si>
    <t>5VAB067</t>
  </si>
  <si>
    <t>Arctos American Football Fund (Committed)</t>
  </si>
  <si>
    <t>5VZ4752</t>
  </si>
  <si>
    <t>Arctos Keystone Partners Fund I (Uncommitted)</t>
  </si>
  <si>
    <t>5VZ9849</t>
  </si>
  <si>
    <t>Arctos American Football Fund (Uncommitted)</t>
  </si>
  <si>
    <t>5VZ4753</t>
  </si>
  <si>
    <t>COMVEST CREDIT PARTNERS VII (UNCOMMITTED)</t>
  </si>
  <si>
    <t>5VY7842</t>
  </si>
  <si>
    <t>COMVEST CREDIT PARTNERS VII (COMMITTED)</t>
  </si>
  <si>
    <t>5VY7714</t>
  </si>
  <si>
    <t>5VY4577</t>
  </si>
  <si>
    <t>SMBC</t>
  </si>
  <si>
    <t>NB PD IV EQUITY LP</t>
  </si>
  <si>
    <t>5VX1099</t>
  </si>
  <si>
    <t>West Street Mezz VIII</t>
  </si>
  <si>
    <t>5VX1620</t>
  </si>
  <si>
    <t>Societe Generale</t>
  </si>
  <si>
    <t>AG DL V</t>
  </si>
  <si>
    <t>5VX1128</t>
  </si>
  <si>
    <t>AG ABC</t>
  </si>
  <si>
    <t>5VW9108</t>
  </si>
  <si>
    <t>UBS Bank USA</t>
  </si>
  <si>
    <t>EDISON PARTNERS XI LP;</t>
  </si>
  <si>
    <t>5VY6837</t>
  </si>
  <si>
    <t>Wells Fargo</t>
  </si>
  <si>
    <t>Blue Owl GP Stakes V (A) LP</t>
  </si>
  <si>
    <t>5VAD225</t>
  </si>
  <si>
    <t>5VW9761</t>
  </si>
  <si>
    <t>K6 PRIVATE INVESTORS LP</t>
  </si>
  <si>
    <t>5VY4364</t>
  </si>
  <si>
    <t>Antares Sen Loan II</t>
  </si>
  <si>
    <t>5VX1598</t>
  </si>
  <si>
    <t>StepStone Secondary Opportunities Fund VI, LP</t>
  </si>
  <si>
    <t>5VAD673</t>
  </si>
  <si>
    <t>Petershill IV</t>
  </si>
  <si>
    <t>5VU9894</t>
  </si>
  <si>
    <t>Genercal Atlantic Core Program</t>
  </si>
  <si>
    <t>5VT6271</t>
  </si>
  <si>
    <t>Whitehorse Liq V</t>
  </si>
  <si>
    <t>5VX1997</t>
  </si>
  <si>
    <t>Roark Continuation</t>
  </si>
  <si>
    <t>5VX8318</t>
  </si>
  <si>
    <t>PSG VI, LP</t>
  </si>
  <si>
    <t>5VY8120</t>
  </si>
  <si>
    <t>GTCR FUND XIV/A LP</t>
  </si>
  <si>
    <t>5VY0034</t>
  </si>
  <si>
    <t>K5 Priv Inv</t>
  </si>
  <si>
    <t>5VX4537</t>
  </si>
  <si>
    <t>HIG ADVANTAGE BUYOUT</t>
  </si>
  <si>
    <t>5VY4260</t>
  </si>
  <si>
    <t>Kohlberg Investors X</t>
  </si>
  <si>
    <t>5VX7941</t>
  </si>
  <si>
    <t>Francisco Partners VII</t>
  </si>
  <si>
    <t>5VX6087</t>
  </si>
  <si>
    <t>Totals Loan Amount1:</t>
  </si>
  <si>
    <t>Template</t>
  </si>
  <si>
    <t>Details</t>
  </si>
  <si>
    <t>Column Headers</t>
  </si>
  <si>
    <t>Legend</t>
  </si>
  <si>
    <t>KKR Ascendant Fund</t>
  </si>
  <si>
    <t>One tab (Borrowing Base)</t>
  </si>
  <si>
    <t>Investor</t>
  </si>
  <si>
    <r>
      <rPr>
        <rFont val="Arial"/>
        <sz val="10"/>
      </rPr>
      <t xml:space="preserve">Row 2: Title: </t>
    </r>
    <r>
      <rPr>
        <b/>
        <rFont val="Arial"/>
        <sz val="10"/>
      </rPr>
      <t>KKR Ascendant – Borrowing Base</t>
    </r>
  </si>
  <si>
    <t>Fund Sleeve</t>
  </si>
  <si>
    <t>Rows 3-9: Summaries</t>
  </si>
  <si>
    <t>Moody’s</t>
  </si>
  <si>
    <t>Row 10: Column Headers (listed in next column)</t>
  </si>
  <si>
    <t>S&amp;P</t>
  </si>
  <si>
    <t>Header Column: Rated Included Investors, followed by subtotal</t>
  </si>
  <si>
    <t>Net Worth</t>
  </si>
  <si>
    <t>Header Column: Non-Rated Included Investors, followed by subtotal</t>
  </si>
  <si>
    <t>Total Commitment</t>
  </si>
  <si>
    <t>Header Column: Designated Investors, followed by subtotal</t>
  </si>
  <si>
    <t>Funded Commitment</t>
  </si>
  <si>
    <t>Header Column: Borrowing Base Investors, followed by subtotal</t>
  </si>
  <si>
    <t>Unfunded Commitment</t>
  </si>
  <si>
    <t>Header Column: Hurdle Investors, followed by subtotal</t>
  </si>
  <si>
    <t>% Total Unfunded Commitment</t>
  </si>
  <si>
    <t>Header Column: Excluded Investors, followed by subtotal</t>
  </si>
  <si>
    <t>Concentration Limit</t>
  </si>
  <si>
    <t>Eligible Unfunded Commitment</t>
  </si>
  <si>
    <t>Advance Rate</t>
  </si>
  <si>
    <t>Borrowing Base</t>
  </si>
  <si>
    <t>Audax Fund VII</t>
  </si>
  <si>
    <t>Silicon Valley Bank</t>
  </si>
  <si>
    <t>Multiple tabs (Investor List)</t>
  </si>
  <si>
    <t>Transferred From</t>
  </si>
  <si>
    <t>Row 4: Deal Name: Nerdio</t>
  </si>
  <si>
    <t>Row 9-10: Borrowers</t>
  </si>
  <si>
    <t>Borrowing Partnership</t>
  </si>
  <si>
    <t>Column 13: Column Headers (listed in next column)</t>
  </si>
  <si>
    <t>GA ID</t>
  </si>
  <si>
    <t>No Header Columns</t>
  </si>
  <si>
    <t>Included/Excluded Investor</t>
  </si>
  <si>
    <t>Capital Commitments</t>
  </si>
  <si>
    <t>% Included Unfunded Commitment</t>
  </si>
  <si>
    <t>Excess Concentration</t>
  </si>
  <si>
    <t>Post-CL Unfunded Commitment</t>
  </si>
  <si>
    <t>Pre-Adjustment Borrowing Base Contribution</t>
  </si>
  <si>
    <t>Borrowing Base Adjustment</t>
  </si>
  <si>
    <t>CCP VII Lev M &amp; M</t>
  </si>
  <si>
    <t>Investor Name</t>
  </si>
  <si>
    <r>
      <rPr>
        <rFont val="Arial"/>
        <sz val="10"/>
      </rPr>
      <t xml:space="preserve">Row 3: Title: </t>
    </r>
    <r>
      <rPr>
        <b/>
        <rFont val="Arial"/>
        <sz val="10"/>
      </rPr>
      <t>Comvest Credit Partners VII, LP.</t>
    </r>
  </si>
  <si>
    <t>Excluded</t>
  </si>
  <si>
    <t>Row 7: Column Headers (listed in next column)</t>
  </si>
  <si>
    <t>Defaulting?</t>
  </si>
  <si>
    <t>Header Column: Levered (Delaware) Feeder, followed by subtotal</t>
  </si>
  <si>
    <t>Claimed/Exercised Rights?</t>
  </si>
  <si>
    <t>Header Column: (Cayman) Feeder, L.P., followed by subtotal</t>
  </si>
  <si>
    <t>Committed Capital</t>
  </si>
  <si>
    <t>Header Column: (Delaware) Feeder, L.P., followed by subtotal</t>
  </si>
  <si>
    <t>Recallable Distribution</t>
  </si>
  <si>
    <t>Header Column: Lux Intermediate, followed by subtotal</t>
  </si>
  <si>
    <t>Remaining Callable Capital</t>
  </si>
  <si>
    <t>Header Column: Lux Non-Treaty Feeder, followed by subtotal</t>
  </si>
  <si>
    <t>AEP VII</t>
  </si>
  <si>
    <t>One tab (BB)</t>
  </si>
  <si>
    <t>Green Shading: LPs new to the BB not via LP Transfer</t>
  </si>
  <si>
    <r>
      <rPr>
        <rFont val="Arial"/>
        <sz val="10"/>
      </rPr>
      <t xml:space="preserve">Line 2: Title: </t>
    </r>
    <r>
      <rPr>
        <b/>
        <rFont val="Arial"/>
        <sz val="10"/>
      </rPr>
      <t>AURORA EQUITY PARTNERS VII LP</t>
    </r>
  </si>
  <si>
    <t>Yellow Shading: LPs new to the BB via LP Transfer</t>
  </si>
  <si>
    <t xml:space="preserve">Row 3-9: Summaries </t>
  </si>
  <si>
    <t>Blue Text: LPs with a change in Commitment Amount</t>
  </si>
  <si>
    <t>Row 11: Column Headers</t>
  </si>
  <si>
    <t>Underlined Text: LPs with a change in Category</t>
  </si>
  <si>
    <t>Header Column: Non-Rated Included Investors, followed by a subtotal</t>
  </si>
  <si>
    <t>CP VII</t>
  </si>
  <si>
    <t>Multiple tabs (BB)</t>
  </si>
  <si>
    <r>
      <rPr>
        <rFont val="Arial"/>
        <sz val="10"/>
      </rPr>
      <t xml:space="preserve">Row 83: Title: </t>
    </r>
    <r>
      <rPr>
        <b/>
        <rFont val="Arial"/>
        <sz val="10"/>
      </rPr>
      <t>Carlyle Partners VII</t>
    </r>
  </si>
  <si>
    <t>Total Capital Commitments</t>
  </si>
  <si>
    <t>Row 84-85: Column Headers</t>
  </si>
  <si>
    <t>% of Eligible Commitments</t>
  </si>
  <si>
    <t>% of All Commitments</t>
  </si>
  <si>
    <t>Contributions Called to Date</t>
  </si>
  <si>
    <t>Excess Concentration %</t>
  </si>
  <si>
    <t>Eligible Contribution</t>
  </si>
  <si>
    <t>Availability</t>
  </si>
  <si>
    <t>Blue Owl GP Stakes V</t>
  </si>
  <si>
    <t>Multiple tabs (Agent BB)</t>
  </si>
  <si>
    <r>
      <rPr>
        <rFont val="Arial"/>
        <sz val="10"/>
      </rPr>
      <t xml:space="preserve">Row 2: Title: </t>
    </r>
    <r>
      <rPr>
        <b/>
        <rFont val="Arial"/>
        <sz val="10"/>
      </rPr>
      <t>Blue Owl GP Stakes V – Subscription Facility Borrowing Base</t>
    </r>
  </si>
  <si>
    <t>Parent / Sponsor / Manager</t>
  </si>
  <si>
    <r>
      <rPr>
        <rFont val="Arial"/>
        <sz val="10"/>
      </rPr>
      <t xml:space="preserve">Rose Background: </t>
    </r>
    <r>
      <rPr>
        <b/>
        <rFont val="Arial"/>
        <sz val="10"/>
      </rPr>
      <t>Reclassified</t>
    </r>
  </si>
  <si>
    <t>Rows 3-17: Summary tables</t>
  </si>
  <si>
    <r>
      <rPr>
        <rFont val="Arial"/>
        <sz val="10"/>
      </rPr>
      <t xml:space="preserve">Light Turquoise Background: </t>
    </r>
    <r>
      <rPr>
        <b/>
        <rFont val="Arial"/>
        <sz val="10"/>
      </rPr>
      <t>Transferee</t>
    </r>
  </si>
  <si>
    <t>Row 18: Column Headers</t>
  </si>
  <si>
    <t>Header Column: A. Rated Investors, followed by subtotal</t>
  </si>
  <si>
    <t>Net Assets (range)</t>
  </si>
  <si>
    <t>Header Column: B. Unrated Investors, followed by subtotal</t>
  </si>
  <si>
    <t>Individual Original Commitment</t>
  </si>
  <si>
    <t>Header Column: C. Eligible Investors, followed by subtotal</t>
  </si>
  <si>
    <t>Original Commitment</t>
  </si>
  <si>
    <t>Header Column: D. Excluded Investors, followed by subtotal</t>
  </si>
  <si>
    <t>Individual Unfunded Commitment</t>
  </si>
  <si>
    <t>Unfunded Capital Commitment</t>
  </si>
  <si>
    <t>% Called</t>
  </si>
  <si>
    <t>% Eligible Unfunded Commitment</t>
  </si>
  <si>
    <t>Eligible Commitment</t>
  </si>
  <si>
    <t>Borrowing Base Contribution</t>
  </si>
  <si>
    <t>% of Borrowing 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</si>
</sst>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1" formatCode="[$$-409]#,##0.00;[RED]\-[$$-409]#,##0.00"/>
    <numFmt numFmtId="172" formatCode="mm/dd/yyyy"/>
  </numFmts>
  <fonts count="4">
    <font>
      <b val="0"/>
      <i val="0"/>
      <sz val="10"/>
      <color auto="1"/>
      <name val="Arial"/>
    </font>
    <font>
      <b/>
      <i val="0"/>
      <sz val="10"/>
      <color auto="1"/>
      <name val="Arial"/>
    </font>
    <font>
      <b val="0"/>
      <i val="0"/>
      <sz val="10"/>
      <color rgb="FF2A6099"/>
      <name val="Arial"/>
    </font>
    <font>
      <b val="0"/>
      <i val="0"/>
      <u/>
      <sz val="10"/>
      <color auto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00A933"/>
      </patternFill>
    </fill>
    <fill>
      <patternFill patternType="solid">
        <fgColor rgb="FFF7D1D5"/>
      </patternFill>
    </fill>
    <fill>
      <patternFill patternType="solid">
        <fgColor rgb="FF729FCF"/>
      </patternFill>
    </fill>
  </fills>
  <borders count="1">
    <border>
      <left/>
      <right/>
      <top/>
      <bottom/>
      <diagonal/>
    </border>
  </borders>
  <cellStyleXfs count="7">
    <xf numFmtId="0" fontId="0" fillId="0" borderId="0" applyFont="1" applyBorder="1" applyAlignment="1" applyProtection="1"/>
    <xf numFmtId="0" fontId="0" fillId="0" borderId="0" applyFont="1" applyBorder="1" applyAlignment="1" applyProtection="1"/>
    <xf numFmtId="0" fontId="0" fillId="0" borderId="0" applyFont="1" applyBorder="0" applyAlignment="0" applyProtection="0"/>
    <xf numFmtId="41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9" fontId="0" fillId="0" borderId="0" applyFont="1" applyBorder="0" applyAlignment="0" applyProtection="0"/>
  </cellStyleXfs>
  <cellXfs count="16">
    <xf numFmtId="0" fontId="0" fillId="0" borderId="0" xfId="0" applyFont="1" applyBorder="1" applyAlignment="1" applyProtection="1"/>
    <xf numFmtId="0" fontId="1" fillId="0" borderId="0" xfId="0"/>
    <xf numFmtId="0" fontId="1" fillId="0" borderId="0" xfId="0">
      <alignment horizontal="center" vertical="bottom"/>
    </xf>
    <xf numFmtId="171" fontId="1" fillId="0" borderId="0" xfId="0">
      <alignment horizontal="center" vertical="bottom"/>
    </xf>
    <xf numFmtId="172" fontId="1" fillId="0" borderId="0" xfId="0">
      <alignment horizontal="center" vertical="bottom"/>
    </xf>
    <xf numFmtId="0" fontId="1" fillId="2" borderId="0" xfId="0"/>
    <xf numFmtId="0" fontId="0" fillId="0" borderId="0" xfId="0"/>
    <xf numFmtId="0" fontId="0" fillId="0" borderId="0" xfId="0">
      <alignment horizontal="center" vertical="bottom"/>
    </xf>
    <xf numFmtId="171" fontId="0" fillId="0" borderId="0" xfId="0">
      <alignment horizontal="center" vertical="bottom"/>
    </xf>
    <xf numFmtId="172" fontId="0" fillId="0" borderId="0" xfId="0">
      <alignment horizontal="center" vertical="bottom"/>
    </xf>
    <xf numFmtId="0" fontId="0" fillId="3" borderId="0" xfId="0"/>
    <xf numFmtId="0" fontId="0" fillId="2" borderId="0" xfId="0"/>
    <xf numFmtId="0" fontId="2" fillId="0" borderId="0" xfId="0"/>
    <xf numFmtId="0" fontId="3" fillId="0" borderId="0" xfId="0"/>
    <xf numFmtId="0" fontId="0" fillId="4" borderId="0" xfId="0"/>
    <xf numFmtId="0" fontId="0" fillId="5" borderId="0" xfId="0"/>
  </cellXfs>
  <cellStyles count="6">
    <cellStyle name="Normal" xfId="1"/>
    <cellStyle name="Comma" xfId="2" builtinId="3"/>
    <cellStyle name="Comma [0]" xfId="3" builtinId="6"/>
    <cellStyle name="Currency" xfId="4" builtinId="4"/>
    <cellStyle name="Currency[0]" xfId="5" builtinId="7"/>
    <cellStyle name="Percent" xfId="6" builtinId="5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sharedStrings" Target="sharedStrings.xml"/><Relationship Id="rId6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Libre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"/>
      </a:majorFont>
      <a:minorFont>
        <a:latin typeface="Arial"/>
        <a:ea typeface="DejaVu Sans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56EEEB73-FE5E-43B8-BA56-D3188A8E903E}" mc:Ignorable="x14ac xr xr2 xr3">
  <dimension ref="A1:G105"/>
  <sheetViews>
    <sheetView topLeftCell="C31" zoomScale="110" workbookViewId="0" tabSelected="1">
      <selection activeCell="E42" sqref="E42:G42"/>
    </sheetView>
  </sheetViews>
  <sheetFormatPr defaultRowHeight="12.8025" defaultColWidth="11.57421875" customHeight="1"/>
  <cols>
    <col min="1" max="1" style="6" width="48.421875" customWidth="1"/>
    <col min="2" max="2" style="6" width="45.7109375" customWidth="1"/>
    <col min="3" max="3" style="7" width="27.00390625" customWidth="1"/>
    <col min="4" max="4" style="8" width="21.00390625" customWidth="1"/>
    <col min="5" max="5" style="9" width="18.421875" customWidth="1"/>
    <col min="6" max="6" style="7" width="21.8515625" customWidth="1"/>
    <col min="7" max="7" style="9" width="21.28125" customWidth="1"/>
  </cols>
  <sheetData>
    <row r="1" ht="12.75" customHeight="1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2" t="s">
        <v>5</v>
      </c>
      <c r="G1" s="4" t="s">
        <v>6</v>
      </c>
    </row>
    <row r="2" ht="12.75" customHeight="1">
      <c r="A2" s="5" t="s">
        <v>7</v>
      </c>
    </row>
    <row r="3" ht="12.75" customHeight="1">
      <c r="A3" s="1"/>
      <c r="B3" s="6" t="s">
        <v>8</v>
      </c>
      <c r="C3" s="7" t="s">
        <v>9</v>
      </c>
      <c r="D3" s="8">
        <v>75000000</v>
      </c>
      <c r="E3" s="9">
        <v>46321</v>
      </c>
      <c r="F3" s="7" t="s">
        <v>10</v>
      </c>
      <c r="G3" s="9">
        <v>46163</v>
      </c>
    </row>
    <row r="4" ht="12.75" customHeight="1">
      <c r="A4" s="1"/>
      <c r="B4" s="6" t="s">
        <v>11</v>
      </c>
      <c r="C4" s="7" t="s">
        <v>12</v>
      </c>
      <c r="D4" s="8">
        <v>87500000</v>
      </c>
      <c r="E4" s="9">
        <v>46528</v>
      </c>
      <c r="F4" s="7" t="s">
        <v>10</v>
      </c>
      <c r="G4" s="9">
        <v>46129</v>
      </c>
    </row>
    <row r="5" ht="12.75" customHeight="1">
      <c r="A5" s="1"/>
      <c r="B5" s="6" t="s">
        <v>13</v>
      </c>
      <c r="C5" s="7" t="s">
        <v>14</v>
      </c>
      <c r="D5" s="8">
        <v>300000000</v>
      </c>
      <c r="E5" s="9">
        <v>46521</v>
      </c>
      <c r="F5" s="7" t="s">
        <v>10</v>
      </c>
      <c r="G5" s="9">
        <v>46136</v>
      </c>
    </row>
    <row r="6" ht="12.75" customHeight="1">
      <c r="A6" s="1"/>
      <c r="B6" s="6" t="s">
        <v>15</v>
      </c>
      <c r="C6" s="7" t="s">
        <v>16</v>
      </c>
      <c r="D6" s="8">
        <v>67829457</v>
      </c>
      <c r="E6" s="9">
        <v>46450</v>
      </c>
      <c r="F6" s="7" t="s">
        <v>10</v>
      </c>
      <c r="G6" s="9">
        <v>46114</v>
      </c>
    </row>
    <row r="7" ht="12.75" customHeight="1">
      <c r="A7" s="1"/>
      <c r="B7" s="6" t="s">
        <v>17</v>
      </c>
      <c r="C7" s="7" t="s">
        <v>18</v>
      </c>
      <c r="D7" s="8">
        <v>100000000</v>
      </c>
      <c r="E7" s="9">
        <v>46764</v>
      </c>
      <c r="F7" s="7" t="s">
        <v>10</v>
      </c>
      <c r="G7" s="9">
        <v>46155</v>
      </c>
    </row>
    <row r="8" ht="12.75" customHeight="1">
      <c r="A8" s="1"/>
      <c r="B8" s="6" t="s">
        <v>19</v>
      </c>
      <c r="C8" s="7" t="s">
        <v>18</v>
      </c>
      <c r="D8" s="8">
        <v>112000000</v>
      </c>
      <c r="E8" s="9">
        <v>46589</v>
      </c>
      <c r="F8" s="7" t="s">
        <v>10</v>
      </c>
      <c r="G8" s="9">
        <v>45861</v>
      </c>
    </row>
    <row r="9" ht="12.75" customHeight="1">
      <c r="A9" s="1"/>
      <c r="B9" s="6" t="s">
        <v>20</v>
      </c>
      <c r="C9" s="7" t="s">
        <v>21</v>
      </c>
      <c r="D9" s="8">
        <v>92000000</v>
      </c>
      <c r="E9" s="9">
        <v>46367</v>
      </c>
      <c r="F9" s="7" t="s">
        <v>10</v>
      </c>
      <c r="G9" s="9">
        <v>46158</v>
      </c>
    </row>
    <row r="10" ht="12.75" customHeight="1">
      <c r="A10" s="1"/>
      <c r="B10" s="6" t="s">
        <v>22</v>
      </c>
      <c r="C10" s="7" t="s">
        <v>23</v>
      </c>
      <c r="D10" s="8">
        <v>112000000</v>
      </c>
      <c r="E10" s="9">
        <v>46589</v>
      </c>
      <c r="F10" s="7" t="s">
        <v>10</v>
      </c>
      <c r="G10" s="9">
        <v>45861</v>
      </c>
    </row>
    <row r="11" ht="12.75" customHeight="1">
      <c r="A11" s="1"/>
      <c r="B11" s="6" t="s">
        <v>24</v>
      </c>
      <c r="C11" s="7" t="s">
        <v>25</v>
      </c>
      <c r="D11" s="8">
        <v>300000000</v>
      </c>
      <c r="E11" s="9">
        <v>46640</v>
      </c>
      <c r="F11" s="7" t="s">
        <v>10</v>
      </c>
      <c r="G11" s="9">
        <v>45917</v>
      </c>
    </row>
    <row r="12" ht="12.75" customHeight="1">
      <c r="A12" s="1"/>
      <c r="B12" s="6" t="s">
        <v>26</v>
      </c>
      <c r="C12" s="7" t="s">
        <v>27</v>
      </c>
      <c r="D12" s="8">
        <v>135000000</v>
      </c>
      <c r="E12" s="9">
        <v>46521</v>
      </c>
      <c r="F12" s="7" t="s">
        <v>10</v>
      </c>
      <c r="G12" s="9">
        <v>46158</v>
      </c>
    </row>
    <row r="13" ht="12.75" customHeight="1">
      <c r="A13" s="1"/>
      <c r="B13" s="6" t="s">
        <v>28</v>
      </c>
      <c r="C13" s="7" t="s">
        <v>29</v>
      </c>
      <c r="D13" s="8">
        <v>73076924</v>
      </c>
      <c r="E13" s="9">
        <v>46492</v>
      </c>
      <c r="F13" s="7" t="s">
        <v>10</v>
      </c>
      <c r="G13" s="9">
        <v>46129</v>
      </c>
    </row>
    <row r="14" ht="12.75" customHeight="1">
      <c r="A14" s="1"/>
      <c r="B14" s="6" t="s">
        <v>30</v>
      </c>
      <c r="C14" s="7" t="s">
        <v>31</v>
      </c>
      <c r="D14" s="8">
        <v>45000000</v>
      </c>
      <c r="E14" s="9">
        <v>46402</v>
      </c>
      <c r="F14" s="7" t="s">
        <v>10</v>
      </c>
      <c r="G14" s="9">
        <v>46184</v>
      </c>
    </row>
    <row r="15" ht="12.75" customHeight="1">
      <c r="A15" s="1"/>
      <c r="B15" s="6" t="s">
        <v>32</v>
      </c>
      <c r="C15" s="7" t="s">
        <v>33</v>
      </c>
      <c r="D15" s="8">
        <v>175000000</v>
      </c>
      <c r="E15" s="9">
        <v>46633</v>
      </c>
      <c r="F15" s="7" t="s">
        <v>10</v>
      </c>
      <c r="G15" s="9">
        <v>45906</v>
      </c>
    </row>
    <row r="16" ht="12.75" customHeight="1">
      <c r="A16" s="1"/>
      <c r="B16" s="6" t="s">
        <v>34</v>
      </c>
      <c r="C16" s="7" t="s">
        <v>35</v>
      </c>
      <c r="D16" s="8">
        <v>75000000</v>
      </c>
      <c r="E16" s="9">
        <v>46619</v>
      </c>
      <c r="F16" s="7" t="s">
        <v>10</v>
      </c>
      <c r="G16" s="9">
        <v>45890</v>
      </c>
    </row>
    <row r="17" ht="12.75" customHeight="1">
      <c r="A17" s="1"/>
      <c r="B17" s="6" t="s">
        <v>36</v>
      </c>
      <c r="C17" s="7" t="s">
        <v>37</v>
      </c>
      <c r="D17" s="8">
        <v>300000000</v>
      </c>
      <c r="E17" s="9">
        <v>46832</v>
      </c>
      <c r="F17" s="7" t="s">
        <v>10</v>
      </c>
      <c r="G17" s="9">
        <v>46156</v>
      </c>
    </row>
    <row r="18" ht="12.75" customHeight="1">
      <c r="A18" s="1"/>
      <c r="B18" s="6" t="s">
        <v>38</v>
      </c>
      <c r="C18" s="7" t="s">
        <v>39</v>
      </c>
      <c r="D18" s="8">
        <v>175000000</v>
      </c>
      <c r="E18" s="9">
        <v>47025</v>
      </c>
      <c r="F18" s="7" t="s">
        <v>10</v>
      </c>
      <c r="G18" s="9">
        <v>46056</v>
      </c>
    </row>
    <row r="19" ht="12.75" customHeight="1">
      <c r="A19" s="1"/>
      <c r="C19" s="2" t="s">
        <v>40</v>
      </c>
      <c r="D19" s="3">
        <f t="shared" si="3" ref="D19:D104">SUM(D3:D18)</f>
        <v>2224406381</v>
      </c>
    </row>
    <row r="20" ht="12.75" customHeight="1">
      <c r="A20" s="1" t="s">
        <v>41</v>
      </c>
    </row>
    <row r="21" ht="12.75" customHeight="1">
      <c r="A21" s="1"/>
      <c r="B21" s="6" t="s">
        <v>42</v>
      </c>
      <c r="C21" s="7" t="s">
        <v>43</v>
      </c>
      <c r="D21" s="8">
        <v>200000000</v>
      </c>
      <c r="E21" s="9">
        <v>46241</v>
      </c>
      <c r="F21" s="7" t="s">
        <v>10</v>
      </c>
      <c r="G21" s="9">
        <v>46088</v>
      </c>
    </row>
    <row r="22" ht="12.75" customHeight="1">
      <c r="A22" s="1"/>
      <c r="B22" s="6" t="s">
        <v>44</v>
      </c>
      <c r="C22" s="7" t="s">
        <v>45</v>
      </c>
      <c r="D22" s="8">
        <v>132500000</v>
      </c>
      <c r="E22" s="9">
        <v>46380</v>
      </c>
      <c r="F22" s="7" t="s">
        <v>10</v>
      </c>
      <c r="G22" s="9">
        <v>45987</v>
      </c>
    </row>
    <row r="23" ht="12.75" customHeight="1">
      <c r="A23" s="1"/>
      <c r="C23" s="2" t="s">
        <v>40</v>
      </c>
      <c r="D23" s="3">
        <f>SUM(D21,D22)</f>
        <v>332500000</v>
      </c>
    </row>
    <row r="24" ht="12.75" customHeight="1">
      <c r="A24" s="1" t="s">
        <v>46</v>
      </c>
    </row>
    <row r="25" ht="12.75" customHeight="1">
      <c r="B25" s="6" t="s">
        <v>47</v>
      </c>
      <c r="C25" s="7" t="s">
        <v>48</v>
      </c>
      <c r="D25" s="8">
        <v>150000000</v>
      </c>
      <c r="E25" s="9">
        <v>46395</v>
      </c>
      <c r="F25" s="7" t="s">
        <v>10</v>
      </c>
      <c r="G25" s="9">
        <v>46023</v>
      </c>
    </row>
    <row r="26" ht="12.75" customHeight="1">
      <c r="C26" s="2" t="s">
        <v>40</v>
      </c>
      <c r="D26" s="3">
        <f t="shared" si="1" ref="D26:D86">SUM(D25)</f>
        <v>150000000</v>
      </c>
    </row>
    <row r="27" ht="12.75" customHeight="1">
      <c r="A27" s="1" t="s">
        <v>49</v>
      </c>
    </row>
    <row r="28" ht="12.75" customHeight="1">
      <c r="A28" s="1"/>
      <c r="B28" s="6" t="s">
        <v>50</v>
      </c>
      <c r="C28" s="7" t="s">
        <v>51</v>
      </c>
      <c r="D28" s="8">
        <v>165000000</v>
      </c>
      <c r="E28" s="9">
        <v>46533</v>
      </c>
      <c r="F28" s="7" t="s">
        <v>10</v>
      </c>
      <c r="G28" s="9">
        <v>46162</v>
      </c>
    </row>
    <row r="29" ht="12.75" customHeight="1">
      <c r="A29" s="1"/>
      <c r="C29" s="2" t="s">
        <v>40</v>
      </c>
      <c r="D29" s="3">
        <f t="shared" si="0" ref="D29:D32">SUM($D28)</f>
        <v>165000000</v>
      </c>
    </row>
    <row r="30" ht="12.75" customHeight="1">
      <c r="A30" s="1" t="s">
        <v>52</v>
      </c>
    </row>
    <row r="31" ht="12.75" customHeight="1">
      <c r="A31" s="1"/>
      <c r="B31" s="6" t="s">
        <v>53</v>
      </c>
      <c r="C31" s="7" t="s">
        <v>54</v>
      </c>
      <c r="D31" s="8">
        <v>125000000</v>
      </c>
      <c r="E31" s="9">
        <v>46274</v>
      </c>
      <c r="F31" s="7" t="s">
        <v>10</v>
      </c>
      <c r="G31" s="9">
        <v>46024</v>
      </c>
    </row>
    <row r="32" ht="12.75" customHeight="1">
      <c r="A32" s="1"/>
      <c r="C32" s="2" t="s">
        <v>40</v>
      </c>
      <c r="D32" s="3">
        <f t="shared" si="0"/>
        <v>125000000</v>
      </c>
    </row>
    <row r="33" ht="12.75" customHeight="1">
      <c r="A33" s="1" t="s">
        <v>55</v>
      </c>
    </row>
    <row r="34" ht="12.75" customHeight="1">
      <c r="A34" s="1"/>
      <c r="B34" s="6" t="s">
        <v>56</v>
      </c>
      <c r="C34" s="7" t="s">
        <v>57</v>
      </c>
      <c r="D34" s="8">
        <v>213157895</v>
      </c>
      <c r="E34" s="9">
        <v>46209</v>
      </c>
      <c r="F34" s="7" t="s">
        <v>10</v>
      </c>
      <c r="G34" s="9">
        <v>46142</v>
      </c>
    </row>
    <row r="35" ht="12.75" customHeight="1">
      <c r="A35" s="1"/>
      <c r="B35" s="6" t="s">
        <v>58</v>
      </c>
      <c r="C35" s="7" t="s">
        <v>59</v>
      </c>
      <c r="D35" s="8">
        <v>100000000</v>
      </c>
      <c r="E35" s="9">
        <v>46668</v>
      </c>
      <c r="F35" s="7" t="s">
        <v>10</v>
      </c>
      <c r="G35" s="9">
        <v>45941</v>
      </c>
    </row>
    <row r="36" ht="12.75" customHeight="1">
      <c r="A36" s="1"/>
      <c r="B36" s="6" t="s">
        <v>60</v>
      </c>
      <c r="C36" s="7" t="s">
        <v>61</v>
      </c>
      <c r="D36" s="8">
        <v>140000000</v>
      </c>
      <c r="E36" s="9">
        <v>46262</v>
      </c>
      <c r="F36" s="7" t="s">
        <v>10</v>
      </c>
      <c r="G36" s="9">
        <v>45898</v>
      </c>
    </row>
    <row r="37" ht="12.75" customHeight="1">
      <c r="A37" s="1"/>
      <c r="B37" s="6" t="s">
        <v>62</v>
      </c>
      <c r="C37" s="7" t="s">
        <v>63</v>
      </c>
      <c r="D37" s="8">
        <v>250000000</v>
      </c>
      <c r="E37" s="9">
        <v>46254</v>
      </c>
      <c r="F37" s="7" t="s">
        <v>10</v>
      </c>
      <c r="G37" s="9">
        <v>45890</v>
      </c>
    </row>
    <row r="38" ht="12.75" customHeight="1">
      <c r="A38" s="1"/>
      <c r="B38" s="6" t="s">
        <v>64</v>
      </c>
      <c r="C38" s="7" t="s">
        <v>65</v>
      </c>
      <c r="D38" s="8">
        <v>44200000</v>
      </c>
      <c r="E38" s="9">
        <v>46195</v>
      </c>
      <c r="F38" s="7" t="s">
        <v>10</v>
      </c>
      <c r="G38" s="9">
        <v>46119</v>
      </c>
    </row>
    <row r="39" ht="12.75" customHeight="1">
      <c r="A39" s="1"/>
      <c r="B39" s="6" t="s">
        <v>66</v>
      </c>
      <c r="C39" s="7" t="s">
        <v>67</v>
      </c>
      <c r="D39" s="8">
        <v>200000000</v>
      </c>
      <c r="E39" s="9">
        <v>46498</v>
      </c>
      <c r="F39" s="7" t="s">
        <v>10</v>
      </c>
      <c r="G39" s="9">
        <v>46143</v>
      </c>
    </row>
    <row r="40" ht="12.75" customHeight="1">
      <c r="A40" s="1"/>
      <c r="C40" s="2" t="s">
        <v>40</v>
      </c>
      <c r="D40" s="3">
        <f>SUM(D34:D39)</f>
        <v>947357895</v>
      </c>
    </row>
    <row r="41" ht="12.75" customHeight="1">
      <c r="A41" s="1" t="s">
        <v>68</v>
      </c>
    </row>
    <row r="42" ht="12.75" customHeight="1">
      <c r="A42" s="1"/>
      <c r="B42" s="6" t="s">
        <v>69</v>
      </c>
      <c r="C42" s="7" t="s">
        <v>70</v>
      </c>
      <c r="D42" s="8">
        <v>99525317</v>
      </c>
      <c r="E42" s="9">
        <v>46458</v>
      </c>
      <c r="F42" s="7" t="s">
        <v>10</v>
      </c>
      <c r="G42" s="9">
        <v>46102</v>
      </c>
    </row>
    <row r="43" ht="12.75" customHeight="1">
      <c r="A43" s="1"/>
      <c r="C43" s="2" t="s">
        <v>40</v>
      </c>
      <c r="D43" s="3">
        <f t="shared" si="1"/>
        <v>99525317</v>
      </c>
    </row>
    <row r="44" ht="12.75" customHeight="1">
      <c r="A44" s="1" t="s">
        <v>71</v>
      </c>
    </row>
    <row r="45" ht="12.75" customHeight="1">
      <c r="A45" s="1"/>
      <c r="B45" s="6" t="s">
        <v>72</v>
      </c>
      <c r="C45" s="7" t="s">
        <v>73</v>
      </c>
      <c r="D45" s="8">
        <v>165000000</v>
      </c>
      <c r="E45" s="9">
        <v>46339</v>
      </c>
      <c r="F45" s="7" t="s">
        <v>10</v>
      </c>
      <c r="G45" s="9">
        <v>45905</v>
      </c>
    </row>
    <row r="46" ht="12.75" customHeight="1">
      <c r="A46" s="1"/>
      <c r="C46" s="2" t="s">
        <v>40</v>
      </c>
      <c r="D46" s="3">
        <f t="shared" si="1"/>
        <v>165000000</v>
      </c>
    </row>
    <row r="47" ht="12.75" customHeight="1">
      <c r="A47" s="1" t="s">
        <v>74</v>
      </c>
    </row>
    <row r="48" ht="12.75" customHeight="1">
      <c r="A48" s="1"/>
      <c r="B48" s="6" t="s">
        <v>75</v>
      </c>
      <c r="C48" s="7" t="s">
        <v>76</v>
      </c>
      <c r="D48" s="8">
        <v>200000000</v>
      </c>
      <c r="E48" s="9">
        <v>46934</v>
      </c>
      <c r="F48" s="7" t="s">
        <v>10</v>
      </c>
      <c r="G48" s="9">
        <v>46127</v>
      </c>
    </row>
    <row r="49" ht="12.75" customHeight="1">
      <c r="A49" s="1"/>
      <c r="B49" s="6" t="s">
        <v>77</v>
      </c>
      <c r="C49" s="7" t="s">
        <v>78</v>
      </c>
      <c r="D49" s="8">
        <v>170000000</v>
      </c>
      <c r="E49" s="9">
        <v>46477</v>
      </c>
      <c r="F49" s="7" t="s">
        <v>10</v>
      </c>
      <c r="G49" s="9">
        <v>46114</v>
      </c>
    </row>
    <row r="50" ht="12.75" customHeight="1">
      <c r="A50" s="1"/>
      <c r="C50" s="2" t="s">
        <v>40</v>
      </c>
      <c r="D50" s="3">
        <f t="shared" si="2" ref="D50:D83">SUM(D48:D49)</f>
        <v>370000000</v>
      </c>
    </row>
    <row r="51" ht="12.75" customHeight="1">
      <c r="A51" s="1" t="s">
        <v>79</v>
      </c>
    </row>
    <row r="52" ht="12.75" customHeight="1">
      <c r="A52" s="1"/>
      <c r="B52" s="6" t="s">
        <v>80</v>
      </c>
      <c r="C52" s="7" t="s">
        <v>81</v>
      </c>
      <c r="D52" s="8">
        <v>240000000</v>
      </c>
      <c r="E52" s="9">
        <v>46304</v>
      </c>
      <c r="F52" s="7" t="s">
        <v>10</v>
      </c>
      <c r="G52" s="9">
        <v>46037</v>
      </c>
    </row>
    <row r="53" ht="12.75" customHeight="1">
      <c r="A53" s="1"/>
      <c r="B53" s="6" t="s">
        <v>82</v>
      </c>
      <c r="C53" s="7" t="s">
        <v>83</v>
      </c>
      <c r="D53" s="8">
        <v>138000000</v>
      </c>
      <c r="E53" s="9">
        <v>46248</v>
      </c>
      <c r="F53" s="7" t="s">
        <v>10</v>
      </c>
      <c r="G53" s="9">
        <v>46113</v>
      </c>
    </row>
    <row r="54" ht="12.75" customHeight="1">
      <c r="A54" s="1"/>
      <c r="B54" s="6" t="s">
        <v>84</v>
      </c>
      <c r="C54" s="7" t="s">
        <v>85</v>
      </c>
      <c r="D54" s="8">
        <v>143285718</v>
      </c>
      <c r="E54" s="9">
        <v>46238</v>
      </c>
      <c r="F54" s="7" t="s">
        <v>10</v>
      </c>
      <c r="G54" s="9">
        <v>45870</v>
      </c>
    </row>
    <row r="55" ht="12.75" customHeight="1">
      <c r="A55" s="1"/>
      <c r="B55" s="6" t="s">
        <v>86</v>
      </c>
      <c r="C55" s="7" t="s">
        <v>87</v>
      </c>
      <c r="D55" s="8">
        <v>156250000</v>
      </c>
      <c r="E55" s="9">
        <v>46247</v>
      </c>
      <c r="F55" s="7" t="s">
        <v>10</v>
      </c>
      <c r="G55" s="9">
        <v>46126</v>
      </c>
    </row>
    <row r="56" ht="12.75" customHeight="1">
      <c r="A56" s="1"/>
      <c r="C56" s="2" t="s">
        <v>40</v>
      </c>
      <c r="D56" s="3">
        <f>SUM(D52:D55)</f>
        <v>677535718</v>
      </c>
    </row>
    <row r="57" ht="12.75" customHeight="1">
      <c r="A57" s="1" t="s">
        <v>88</v>
      </c>
    </row>
    <row r="58" ht="12.75" customHeight="1">
      <c r="A58" s="1"/>
      <c r="B58" s="6" t="s">
        <v>89</v>
      </c>
      <c r="C58" s="7" t="s">
        <v>90</v>
      </c>
      <c r="D58" s="8">
        <v>292050000</v>
      </c>
      <c r="E58" s="9">
        <v>46197</v>
      </c>
      <c r="F58" s="7" t="s">
        <v>10</v>
      </c>
      <c r="G58" s="9">
        <v>45833</v>
      </c>
    </row>
    <row r="59" ht="12.75" customHeight="1">
      <c r="A59" s="1"/>
      <c r="B59" s="6" t="s">
        <v>89</v>
      </c>
      <c r="C59" s="7" t="s">
        <v>91</v>
      </c>
      <c r="D59" s="8">
        <v>7950000</v>
      </c>
      <c r="E59" s="9">
        <v>46197</v>
      </c>
      <c r="F59" s="7" t="s">
        <v>10</v>
      </c>
      <c r="G59" s="9">
        <v>45833</v>
      </c>
    </row>
    <row r="60" ht="12.75" customHeight="1">
      <c r="A60" s="1"/>
      <c r="C60" s="2" t="s">
        <v>40</v>
      </c>
      <c r="D60" s="3">
        <f t="shared" si="2"/>
        <v>300000000</v>
      </c>
    </row>
    <row r="61" ht="12.75" customHeight="1">
      <c r="A61" s="1" t="s">
        <v>92</v>
      </c>
    </row>
    <row r="62" ht="12.75" customHeight="1">
      <c r="A62" s="1"/>
      <c r="B62" s="6" t="s">
        <v>93</v>
      </c>
      <c r="C62" s="7" t="s">
        <v>94</v>
      </c>
      <c r="D62" s="8">
        <v>150000000</v>
      </c>
      <c r="E62" s="9">
        <v>46864</v>
      </c>
      <c r="F62" s="7" t="s">
        <v>10</v>
      </c>
      <c r="G62" s="9">
        <v>46134</v>
      </c>
    </row>
    <row r="63" ht="12.75" customHeight="1">
      <c r="A63" s="1"/>
      <c r="C63" s="2" t="s">
        <v>40</v>
      </c>
      <c r="D63" s="3">
        <f t="shared" si="1"/>
        <v>150000000</v>
      </c>
    </row>
    <row r="64" ht="12.75" customHeight="1">
      <c r="A64" s="1" t="s">
        <v>95</v>
      </c>
    </row>
    <row r="65" ht="12.75" customHeight="1">
      <c r="A65" s="1"/>
      <c r="B65" s="6" t="s">
        <v>96</v>
      </c>
      <c r="C65" s="7" t="s">
        <v>97</v>
      </c>
      <c r="D65" s="8">
        <v>180000000</v>
      </c>
      <c r="E65" s="9">
        <v>46415</v>
      </c>
      <c r="F65" s="7" t="s">
        <v>10</v>
      </c>
      <c r="G65" s="9">
        <v>46051</v>
      </c>
    </row>
    <row r="66" ht="12.75" customHeight="1">
      <c r="A66" s="1"/>
      <c r="B66" s="6" t="s">
        <v>98</v>
      </c>
      <c r="C66" s="7" t="s">
        <v>99</v>
      </c>
      <c r="D66" s="8">
        <v>100480770</v>
      </c>
      <c r="E66" s="9">
        <v>46373</v>
      </c>
      <c r="F66" s="7" t="s">
        <v>10</v>
      </c>
      <c r="G66" s="9">
        <v>46142</v>
      </c>
    </row>
    <row r="67" ht="12.75" customHeight="1">
      <c r="A67" s="1"/>
      <c r="B67" s="6" t="s">
        <v>100</v>
      </c>
      <c r="C67" s="7" t="s">
        <v>101</v>
      </c>
      <c r="D67" s="8">
        <v>105000000</v>
      </c>
      <c r="E67" s="9">
        <v>46534</v>
      </c>
      <c r="F67" s="7" t="s">
        <v>10</v>
      </c>
      <c r="G67" s="9">
        <v>46172</v>
      </c>
    </row>
    <row r="68" ht="12.75" customHeight="1">
      <c r="A68" s="1"/>
      <c r="B68" s="6" t="s">
        <v>102</v>
      </c>
      <c r="C68" s="7" t="s">
        <v>103</v>
      </c>
      <c r="D68" s="8">
        <v>120000000</v>
      </c>
      <c r="E68" s="9">
        <v>46415</v>
      </c>
      <c r="F68" s="7" t="s">
        <v>10</v>
      </c>
      <c r="G68" s="9">
        <v>46051</v>
      </c>
    </row>
    <row r="69" ht="12.75" customHeight="1">
      <c r="A69" s="1"/>
      <c r="B69" s="6" t="s">
        <v>104</v>
      </c>
      <c r="C69" s="7" t="s">
        <v>105</v>
      </c>
      <c r="D69" s="8">
        <v>75000000</v>
      </c>
      <c r="E69" s="9">
        <v>46197</v>
      </c>
      <c r="F69" s="7" t="s">
        <v>10</v>
      </c>
      <c r="G69" s="9">
        <v>46183</v>
      </c>
    </row>
    <row r="70" ht="12.75" customHeight="1">
      <c r="A70" s="1"/>
      <c r="B70" s="6" t="s">
        <v>106</v>
      </c>
      <c r="C70" s="7" t="s">
        <v>107</v>
      </c>
      <c r="D70" s="8">
        <v>100480770</v>
      </c>
      <c r="E70" s="9">
        <v>46373</v>
      </c>
      <c r="F70" s="7" t="s">
        <v>10</v>
      </c>
      <c r="G70" s="9">
        <v>46142</v>
      </c>
    </row>
    <row r="71" ht="12.75" customHeight="1">
      <c r="A71" s="1"/>
      <c r="B71" s="6" t="s">
        <v>108</v>
      </c>
      <c r="C71" s="7" t="s">
        <v>109</v>
      </c>
      <c r="D71" s="8">
        <v>75000000</v>
      </c>
      <c r="E71" s="9">
        <v>46197</v>
      </c>
      <c r="F71" s="7" t="s">
        <v>10</v>
      </c>
      <c r="G71" s="9">
        <v>46183</v>
      </c>
    </row>
    <row r="72" ht="12.75" customHeight="1">
      <c r="A72" s="1"/>
      <c r="B72" s="6" t="s">
        <v>110</v>
      </c>
      <c r="C72" s="7" t="s">
        <v>111</v>
      </c>
      <c r="D72" s="8">
        <v>50000000</v>
      </c>
      <c r="E72" s="9">
        <v>46248</v>
      </c>
      <c r="F72" s="7" t="s">
        <v>10</v>
      </c>
      <c r="G72" s="9">
        <v>46122</v>
      </c>
    </row>
    <row r="73" ht="12.75" customHeight="1">
      <c r="A73" s="1"/>
      <c r="B73" s="6" t="s">
        <v>112</v>
      </c>
      <c r="C73" s="7" t="s">
        <v>113</v>
      </c>
      <c r="D73" s="8">
        <v>50000000</v>
      </c>
      <c r="E73" s="9">
        <v>46248</v>
      </c>
      <c r="F73" s="7" t="s">
        <v>10</v>
      </c>
      <c r="G73" s="9">
        <v>46122</v>
      </c>
    </row>
    <row r="74" ht="12.75" customHeight="1">
      <c r="A74" s="1"/>
      <c r="B74" s="6" t="s">
        <v>100</v>
      </c>
      <c r="C74" s="7" t="s">
        <v>114</v>
      </c>
      <c r="D74" s="8">
        <v>70000000</v>
      </c>
      <c r="E74" s="9">
        <v>46534</v>
      </c>
      <c r="F74" s="7" t="s">
        <v>10</v>
      </c>
      <c r="G74" s="9">
        <v>46170</v>
      </c>
    </row>
    <row r="75" ht="12.75" customHeight="1">
      <c r="A75" s="1"/>
      <c r="C75" s="2" t="s">
        <v>40</v>
      </c>
      <c r="D75" s="3">
        <f>SUM(D65:D74)</f>
        <v>925961540</v>
      </c>
    </row>
    <row r="76" ht="12.75" customHeight="1">
      <c r="A76" s="1" t="s">
        <v>115</v>
      </c>
    </row>
    <row r="77" ht="12.75" customHeight="1">
      <c r="A77" s="1"/>
      <c r="B77" s="6" t="s">
        <v>116</v>
      </c>
      <c r="C77" s="7" t="s">
        <v>117</v>
      </c>
      <c r="D77" s="8">
        <v>164705883</v>
      </c>
      <c r="E77" s="9">
        <v>46360</v>
      </c>
      <c r="F77" s="7" t="s">
        <v>10</v>
      </c>
      <c r="G77" s="9">
        <v>45996</v>
      </c>
    </row>
    <row r="78" ht="12.75" customHeight="1">
      <c r="A78" s="1"/>
      <c r="B78" s="6" t="s">
        <v>118</v>
      </c>
      <c r="C78" s="7" t="s">
        <v>119</v>
      </c>
      <c r="D78" s="8">
        <v>300000000</v>
      </c>
      <c r="E78" s="9">
        <v>46479</v>
      </c>
      <c r="F78" s="7" t="s">
        <v>10</v>
      </c>
      <c r="G78" s="9">
        <v>46158</v>
      </c>
    </row>
    <row r="79" ht="12.75" customHeight="1">
      <c r="A79" s="1"/>
      <c r="C79" s="2" t="s">
        <v>40</v>
      </c>
      <c r="D79" s="3">
        <f>SUM(D76:D77)</f>
        <v>164705883</v>
      </c>
    </row>
    <row r="80" ht="12.75" customHeight="1">
      <c r="A80" s="1" t="s">
        <v>120</v>
      </c>
    </row>
    <row r="81" ht="12.75" customHeight="1">
      <c r="A81" s="1"/>
      <c r="B81" s="6" t="s">
        <v>121</v>
      </c>
      <c r="C81" s="7" t="s">
        <v>122</v>
      </c>
      <c r="D81" s="8">
        <v>75000000</v>
      </c>
      <c r="E81" s="9">
        <v>46528</v>
      </c>
      <c r="F81" s="7" t="s">
        <v>10</v>
      </c>
      <c r="G81" s="9">
        <v>46168</v>
      </c>
    </row>
    <row r="82" ht="12.75" customHeight="1">
      <c r="A82" s="1"/>
      <c r="B82" s="6" t="s">
        <v>123</v>
      </c>
      <c r="C82" s="7" t="s">
        <v>124</v>
      </c>
      <c r="D82" s="8">
        <v>75000000</v>
      </c>
      <c r="E82" s="9">
        <v>46346</v>
      </c>
      <c r="F82" s="7" t="s">
        <v>10</v>
      </c>
      <c r="G82" s="9">
        <v>45987</v>
      </c>
    </row>
    <row r="83" ht="12.75" customHeight="1">
      <c r="A83" s="1"/>
      <c r="C83" s="2" t="s">
        <v>40</v>
      </c>
      <c r="D83" s="3">
        <f t="shared" si="2"/>
        <v>150000000</v>
      </c>
    </row>
    <row r="84" ht="12.75" customHeight="1">
      <c r="A84" s="1" t="s">
        <v>125</v>
      </c>
    </row>
    <row r="85" ht="12.75" customHeight="1">
      <c r="A85" s="1"/>
      <c r="B85" s="6" t="s">
        <v>126</v>
      </c>
      <c r="C85" s="7" t="s">
        <v>127</v>
      </c>
      <c r="D85" s="8">
        <v>125000000</v>
      </c>
      <c r="E85" s="9">
        <v>46309</v>
      </c>
      <c r="F85" s="7" t="s">
        <v>10</v>
      </c>
      <c r="G85" s="9">
        <v>45965</v>
      </c>
    </row>
    <row r="86" ht="12.75" customHeight="1">
      <c r="A86" s="1"/>
      <c r="C86" s="2" t="s">
        <v>40</v>
      </c>
      <c r="D86" s="3">
        <f t="shared" si="1"/>
        <v>125000000</v>
      </c>
    </row>
    <row r="87" ht="12.75" customHeight="1">
      <c r="A87" s="1" t="s">
        <v>128</v>
      </c>
    </row>
    <row r="88" ht="12.75" customHeight="1">
      <c r="B88" s="6" t="s">
        <v>129</v>
      </c>
      <c r="C88" s="7" t="s">
        <v>130</v>
      </c>
      <c r="D88" s="8">
        <v>240119760</v>
      </c>
      <c r="E88" s="9">
        <v>46927</v>
      </c>
      <c r="F88" s="7" t="s">
        <v>10</v>
      </c>
      <c r="G88" s="9">
        <v>46162</v>
      </c>
    </row>
    <row r="89" ht="12.75" customHeight="1">
      <c r="B89" s="6" t="s">
        <v>129</v>
      </c>
      <c r="C89" s="7" t="s">
        <v>131</v>
      </c>
      <c r="D89" s="8">
        <v>59880330</v>
      </c>
      <c r="E89" s="9">
        <v>46927</v>
      </c>
      <c r="F89" s="7" t="s">
        <v>10</v>
      </c>
      <c r="G89" s="9">
        <v>46162</v>
      </c>
    </row>
    <row r="90" ht="12.75" customHeight="1">
      <c r="B90" s="6" t="s">
        <v>132</v>
      </c>
      <c r="C90" s="7" t="s">
        <v>133</v>
      </c>
      <c r="D90" s="8">
        <v>400000000</v>
      </c>
      <c r="E90" s="9">
        <v>46486</v>
      </c>
      <c r="F90" s="7" t="s">
        <v>10</v>
      </c>
      <c r="G90" s="9">
        <v>46143</v>
      </c>
    </row>
    <row r="91" ht="12.75" customHeight="1">
      <c r="B91" s="6" t="s">
        <v>134</v>
      </c>
      <c r="C91" s="7" t="s">
        <v>135</v>
      </c>
      <c r="D91" s="8">
        <v>27376000</v>
      </c>
      <c r="E91" s="9">
        <v>46213</v>
      </c>
      <c r="F91" s="7" t="s">
        <v>10</v>
      </c>
      <c r="G91" s="9">
        <v>45945</v>
      </c>
    </row>
    <row r="92" ht="12.75" customHeight="1">
      <c r="B92" s="6" t="s">
        <v>136</v>
      </c>
      <c r="C92" s="7" t="s">
        <v>137</v>
      </c>
      <c r="D92" s="8">
        <v>135000000</v>
      </c>
      <c r="E92" s="9">
        <v>47242</v>
      </c>
      <c r="F92" s="7" t="s">
        <v>10</v>
      </c>
      <c r="G92" s="9">
        <v>46151</v>
      </c>
    </row>
    <row r="93" ht="12.75" customHeight="1">
      <c r="B93" s="6" t="s">
        <v>138</v>
      </c>
      <c r="C93" s="7" t="s">
        <v>139</v>
      </c>
      <c r="D93" s="8">
        <v>132134434</v>
      </c>
      <c r="E93" s="9">
        <v>46843</v>
      </c>
      <c r="F93" s="7" t="s">
        <v>10</v>
      </c>
      <c r="G93" s="9">
        <v>46112</v>
      </c>
    </row>
    <row r="94" ht="12.75" customHeight="1">
      <c r="B94" s="6" t="s">
        <v>140</v>
      </c>
      <c r="C94" s="7" t="s">
        <v>141</v>
      </c>
      <c r="D94" s="8">
        <v>300000000</v>
      </c>
      <c r="E94" s="9">
        <v>46738</v>
      </c>
      <c r="F94" s="7" t="s">
        <v>10</v>
      </c>
      <c r="G94" s="9">
        <v>46015</v>
      </c>
    </row>
    <row r="95" ht="12.75" customHeight="1">
      <c r="B95" s="6" t="s">
        <v>142</v>
      </c>
      <c r="C95" s="7" t="s">
        <v>143</v>
      </c>
      <c r="D95" s="8">
        <v>150000000</v>
      </c>
      <c r="E95" s="9">
        <v>46542</v>
      </c>
      <c r="F95" s="7" t="s">
        <v>10</v>
      </c>
      <c r="G95" s="9">
        <v>46179</v>
      </c>
    </row>
    <row r="96" ht="12.75" customHeight="1">
      <c r="B96" s="6" t="s">
        <v>144</v>
      </c>
      <c r="C96" s="7" t="s">
        <v>145</v>
      </c>
      <c r="D96" s="8">
        <v>230000000</v>
      </c>
      <c r="E96" s="9">
        <v>46864</v>
      </c>
      <c r="F96" s="7" t="s">
        <v>10</v>
      </c>
      <c r="G96" s="9">
        <v>46142</v>
      </c>
    </row>
    <row r="97" ht="12.75" customHeight="1">
      <c r="B97" s="6" t="s">
        <v>146</v>
      </c>
      <c r="C97" s="7" t="s">
        <v>147</v>
      </c>
      <c r="D97" s="8">
        <v>215000000</v>
      </c>
      <c r="E97" s="9">
        <v>46262</v>
      </c>
      <c r="F97" s="7" t="s">
        <v>10</v>
      </c>
      <c r="G97" s="9">
        <v>46044</v>
      </c>
    </row>
    <row r="98" ht="12.75" customHeight="1">
      <c r="B98" s="6" t="s">
        <v>148</v>
      </c>
      <c r="C98" s="7" t="s">
        <v>149</v>
      </c>
      <c r="D98" s="8">
        <v>245714285</v>
      </c>
      <c r="E98" s="9">
        <v>46752</v>
      </c>
      <c r="F98" s="7" t="s">
        <v>10</v>
      </c>
      <c r="G98" s="9">
        <v>46051</v>
      </c>
    </row>
    <row r="99" ht="12.75" customHeight="1">
      <c r="B99" s="6" t="s">
        <v>150</v>
      </c>
      <c r="C99" s="7" t="s">
        <v>151</v>
      </c>
      <c r="D99" s="8">
        <v>273000000</v>
      </c>
      <c r="E99" s="9">
        <v>46199</v>
      </c>
      <c r="F99" s="7" t="s">
        <v>10</v>
      </c>
      <c r="G99" s="9">
        <v>45839</v>
      </c>
    </row>
    <row r="100" ht="12.75" customHeight="1">
      <c r="B100" s="6" t="s">
        <v>152</v>
      </c>
      <c r="C100" s="7" t="s">
        <v>153</v>
      </c>
      <c r="D100" s="8">
        <v>200000000</v>
      </c>
      <c r="E100" s="9">
        <v>46280</v>
      </c>
      <c r="F100" s="7" t="s">
        <v>10</v>
      </c>
      <c r="G100" s="9">
        <v>46071</v>
      </c>
    </row>
    <row r="101" ht="12.75" customHeight="1">
      <c r="B101" s="6" t="s">
        <v>154</v>
      </c>
      <c r="C101" s="7" t="s">
        <v>155</v>
      </c>
      <c r="D101" s="8">
        <v>175000000</v>
      </c>
      <c r="E101" s="9">
        <v>46430</v>
      </c>
      <c r="F101" s="7" t="s">
        <v>10</v>
      </c>
      <c r="G101" s="9">
        <v>46126</v>
      </c>
    </row>
    <row r="102" ht="12.75" customHeight="1">
      <c r="B102" s="6" t="s">
        <v>142</v>
      </c>
      <c r="C102" s="7" t="s">
        <v>143</v>
      </c>
      <c r="D102" s="8">
        <v>150000000</v>
      </c>
      <c r="E102" s="9">
        <v>46542</v>
      </c>
      <c r="F102" s="7" t="s">
        <v>10</v>
      </c>
      <c r="G102" s="9">
        <v>46178</v>
      </c>
    </row>
    <row r="103" ht="12.75" customHeight="1">
      <c r="B103" s="6" t="s">
        <v>156</v>
      </c>
      <c r="C103" s="7" t="s">
        <v>157</v>
      </c>
      <c r="D103" s="8">
        <v>250000000</v>
      </c>
      <c r="E103" s="9">
        <v>46513</v>
      </c>
      <c r="F103" s="7" t="s">
        <v>10</v>
      </c>
      <c r="G103" s="9">
        <v>46153</v>
      </c>
    </row>
    <row r="104" ht="12.75" customHeight="1">
      <c r="C104" s="2" t="s">
        <v>40</v>
      </c>
      <c r="D104" s="3">
        <f t="shared" si="3"/>
        <v>3183224809</v>
      </c>
    </row>
    <row r="105" ht="12.75" customHeight="1">
      <c r="C105" s="2" t="s">
        <v>158</v>
      </c>
      <c r="D105" s="3">
        <v>10555217539</v>
      </c>
    </row>
  </sheetData>
  <printOptions headings="1"/>
  <pageMargins left="0.79" right="0.79" top="1.05" bottom="1.05" header="0.79" footer="0.79"/>
  <pageSetup paperSize="1" useFirstPageNumber="1" firstPageNumber="1" pageOrder="downThenOver" orientation="portrait"/>
  <headerFooter>
    <oddHeader>&amp;L&amp;C&amp;"Times New Roman,Regular"&amp;12&amp;A&amp;R</oddHeader>
    <oddFooter>&amp;L&amp;C&amp;"Times New Roman,Regular"&amp;12Page &amp;P&amp;R</oddFooter>
  </headerFooter>
  <extLst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F9C9F00B-C09B-4E44-8E57-1A2283CBC6E0}" mc:Ignorable="x14ac xr xr2 xr3">
  <dimension ref="A1:E81"/>
  <sheetViews>
    <sheetView topLeftCell="A1" workbookViewId="0">
      <selection activeCell="B16" sqref="B16"/>
    </sheetView>
  </sheetViews>
  <sheetFormatPr defaultRowHeight="12.8025" defaultColWidth="11.57421875" customHeight="1"/>
  <cols>
    <col min="1" max="1" style="6" width="23.140625" customWidth="1"/>
    <col min="2" max="2" style="6" width="33.00390625" customWidth="1"/>
    <col min="3" max="3" style="6" width="69.28125" customWidth="1"/>
    <col min="4" max="4" style="6" width="38.421875" customWidth="1"/>
    <col min="5" max="5" style="6" width="45.8515625" customWidth="1"/>
  </cols>
  <sheetData>
    <row r="1" ht="12.75" customHeight="1">
      <c r="A1" s="1" t="s">
        <v>159</v>
      </c>
      <c r="B1" s="1" t="s">
        <v>0</v>
      </c>
      <c r="C1" s="1" t="s">
        <v>160</v>
      </c>
      <c r="D1" s="1" t="s">
        <v>161</v>
      </c>
      <c r="E1" s="1" t="s">
        <v>162</v>
      </c>
    </row>
    <row r="2" ht="12.75" customHeight="1">
      <c r="A2" s="6" t="s">
        <v>163</v>
      </c>
      <c r="B2" s="1" t="s">
        <v>55</v>
      </c>
      <c r="C2" s="6" t="s">
        <v>164</v>
      </c>
      <c r="D2" s="6" t="s">
        <v>165</v>
      </c>
    </row>
    <row r="3" ht="12.75" customHeight="1">
      <c r="C3" s="6" t="s">
        <v>166</v>
      </c>
      <c r="D3" s="6" t="s">
        <v>167</v>
      </c>
    </row>
    <row r="4" ht="12.75" customHeight="1">
      <c r="C4" s="6" t="s">
        <v>168</v>
      </c>
      <c r="D4" s="6" t="s">
        <v>169</v>
      </c>
    </row>
    <row r="5" ht="12.75" customHeight="1">
      <c r="C5" s="6" t="s">
        <v>170</v>
      </c>
      <c r="D5" s="6" t="s">
        <v>171</v>
      </c>
    </row>
    <row r="6" ht="12.75" customHeight="1">
      <c r="C6" s="6" t="s">
        <v>172</v>
      </c>
      <c r="D6" s="6" t="s">
        <v>173</v>
      </c>
    </row>
    <row r="7" ht="12.75" customHeight="1">
      <c r="C7" s="6" t="s">
        <v>174</v>
      </c>
      <c r="D7" s="6" t="s">
        <v>175</v>
      </c>
    </row>
    <row r="8" ht="12.75" customHeight="1">
      <c r="C8" s="6" t="s">
        <v>176</v>
      </c>
      <c r="D8" s="6" t="s">
        <v>177</v>
      </c>
    </row>
    <row r="9" ht="12.75" customHeight="1">
      <c r="C9" s="6" t="s">
        <v>178</v>
      </c>
      <c r="D9" s="6" t="s">
        <v>179</v>
      </c>
    </row>
    <row r="10" ht="12.75" customHeight="1">
      <c r="C10" s="6" t="s">
        <v>180</v>
      </c>
      <c r="D10" s="6" t="s">
        <v>181</v>
      </c>
    </row>
    <row r="11" ht="12.75" customHeight="1">
      <c r="C11" s="6" t="s">
        <v>182</v>
      </c>
      <c r="D11" s="6" t="s">
        <v>183</v>
      </c>
    </row>
    <row r="12" ht="12.75" customHeight="1">
      <c r="D12" s="6" t="s">
        <v>184</v>
      </c>
    </row>
    <row r="13" ht="12.75" customHeight="1">
      <c r="D13" s="6" t="s">
        <v>185</v>
      </c>
    </row>
    <row r="14" ht="12.75" customHeight="1">
      <c r="D14" s="6" t="s">
        <v>186</v>
      </c>
    </row>
    <row r="16" ht="12.75" customHeight="1">
      <c r="A16" s="6" t="s">
        <v>187</v>
      </c>
      <c r="B16" s="1" t="s">
        <v>188</v>
      </c>
      <c r="C16" s="6" t="s">
        <v>189</v>
      </c>
      <c r="D16" s="6" t="s">
        <v>190</v>
      </c>
    </row>
    <row r="17" ht="12.75" customHeight="1">
      <c r="C17" s="6" t="s">
        <v>191</v>
      </c>
      <c r="D17" s="6" t="s">
        <v>165</v>
      </c>
    </row>
    <row r="18" ht="12.75" customHeight="1">
      <c r="C18" s="6" t="s">
        <v>192</v>
      </c>
      <c r="D18" s="6" t="s">
        <v>193</v>
      </c>
    </row>
    <row r="19" ht="12.75" customHeight="1">
      <c r="C19" s="6" t="s">
        <v>194</v>
      </c>
      <c r="D19" s="6" t="s">
        <v>195</v>
      </c>
    </row>
    <row r="20" ht="12.75" customHeight="1">
      <c r="C20" s="6" t="s">
        <v>196</v>
      </c>
      <c r="D20" s="6" t="s">
        <v>197</v>
      </c>
    </row>
    <row r="21" ht="12.75" customHeight="1">
      <c r="D21" s="6" t="s">
        <v>198</v>
      </c>
    </row>
    <row r="22" ht="12.75" customHeight="1">
      <c r="D22" s="6" t="s">
        <v>179</v>
      </c>
    </row>
    <row r="23" ht="12.75" customHeight="1">
      <c r="D23" s="6" t="s">
        <v>199</v>
      </c>
    </row>
    <row r="24" ht="12.75" customHeight="1">
      <c r="D24" s="6" t="s">
        <v>183</v>
      </c>
    </row>
    <row r="25" ht="12.75" customHeight="1">
      <c r="D25" s="6" t="s">
        <v>200</v>
      </c>
    </row>
    <row r="26" ht="12.75" customHeight="1">
      <c r="D26" s="6" t="s">
        <v>201</v>
      </c>
    </row>
    <row r="27" ht="12.75" customHeight="1">
      <c r="D27" s="6" t="s">
        <v>202</v>
      </c>
    </row>
    <row r="28" ht="12.75" customHeight="1">
      <c r="D28" s="6" t="s">
        <v>203</v>
      </c>
    </row>
    <row r="30" ht="12.75" customHeight="1">
      <c r="A30" s="6" t="s">
        <v>204</v>
      </c>
      <c r="B30" s="1" t="s">
        <v>188</v>
      </c>
      <c r="C30" s="6" t="s">
        <v>189</v>
      </c>
      <c r="D30" s="6" t="s">
        <v>205</v>
      </c>
    </row>
    <row r="31" ht="12.75" customHeight="1">
      <c r="C31" s="6" t="s">
        <v>206</v>
      </c>
      <c r="D31" s="6" t="s">
        <v>207</v>
      </c>
    </row>
    <row r="32" ht="12.75" customHeight="1">
      <c r="C32" s="6" t="s">
        <v>208</v>
      </c>
      <c r="D32" s="6" t="s">
        <v>209</v>
      </c>
    </row>
    <row r="33" ht="12.75" customHeight="1">
      <c r="C33" s="6" t="s">
        <v>210</v>
      </c>
      <c r="D33" s="6" t="s">
        <v>211</v>
      </c>
    </row>
    <row r="34" ht="12.75" customHeight="1">
      <c r="C34" s="6" t="s">
        <v>212</v>
      </c>
      <c r="D34" s="6" t="s">
        <v>213</v>
      </c>
    </row>
    <row r="35" ht="12.75" customHeight="1">
      <c r="C35" s="6" t="s">
        <v>214</v>
      </c>
      <c r="D35" s="6" t="s">
        <v>215</v>
      </c>
    </row>
    <row r="36" ht="12.75" customHeight="1">
      <c r="C36" s="6" t="s">
        <v>216</v>
      </c>
      <c r="D36" s="6" t="s">
        <v>217</v>
      </c>
    </row>
    <row r="37" ht="12.75" customHeight="1">
      <c r="C37" s="6" t="s">
        <v>218</v>
      </c>
      <c r="D37" s="6" t="s">
        <v>183</v>
      </c>
    </row>
    <row r="39" ht="12.75" customHeight="1">
      <c r="A39" s="6" t="s">
        <v>219</v>
      </c>
      <c r="B39" s="1" t="s">
        <v>55</v>
      </c>
      <c r="C39" s="6" t="s">
        <v>220</v>
      </c>
      <c r="D39" s="6" t="s">
        <v>165</v>
      </c>
      <c r="E39" s="10" t="s">
        <v>221</v>
      </c>
    </row>
    <row r="40" ht="12.75" customHeight="1">
      <c r="C40" s="6" t="s">
        <v>222</v>
      </c>
      <c r="D40" s="6" t="s">
        <v>169</v>
      </c>
      <c r="E40" s="11" t="s">
        <v>223</v>
      </c>
    </row>
    <row r="41" ht="12.75" customHeight="1">
      <c r="C41" s="6" t="s">
        <v>224</v>
      </c>
      <c r="D41" s="6" t="s">
        <v>171</v>
      </c>
      <c r="E41" s="12" t="s">
        <v>225</v>
      </c>
    </row>
    <row r="42" ht="12.75" customHeight="1">
      <c r="C42" s="6" t="s">
        <v>226</v>
      </c>
      <c r="D42" s="6" t="s">
        <v>173</v>
      </c>
      <c r="E42" s="13" t="s">
        <v>227</v>
      </c>
    </row>
    <row r="43" ht="12.75" customHeight="1">
      <c r="C43" s="6" t="s">
        <v>172</v>
      </c>
      <c r="D43" s="6" t="s">
        <v>175</v>
      </c>
    </row>
    <row r="44" ht="12.75" customHeight="1">
      <c r="C44" s="6" t="s">
        <v>228</v>
      </c>
      <c r="D44" s="6" t="s">
        <v>177</v>
      </c>
    </row>
    <row r="45" ht="12.75" customHeight="1">
      <c r="C45" s="6" t="s">
        <v>176</v>
      </c>
      <c r="D45" s="6" t="s">
        <v>179</v>
      </c>
    </row>
    <row r="46" ht="12.75" customHeight="1">
      <c r="C46" s="6" t="s">
        <v>182</v>
      </c>
      <c r="D46" s="6" t="s">
        <v>181</v>
      </c>
    </row>
    <row r="47" ht="12.75" customHeight="1">
      <c r="D47" s="6" t="s">
        <v>183</v>
      </c>
    </row>
    <row r="48" ht="12.75" customHeight="1">
      <c r="D48" s="6" t="s">
        <v>200</v>
      </c>
    </row>
    <row r="49" ht="12.75" customHeight="1">
      <c r="D49" s="6" t="s">
        <v>184</v>
      </c>
    </row>
    <row r="50" ht="12.75" customHeight="1">
      <c r="D50" s="6" t="s">
        <v>185</v>
      </c>
    </row>
    <row r="52" ht="12.75" customHeight="1">
      <c r="A52" s="6" t="s">
        <v>229</v>
      </c>
      <c r="B52" s="1" t="s">
        <v>7</v>
      </c>
      <c r="C52" s="6" t="s">
        <v>230</v>
      </c>
      <c r="D52" s="6" t="s">
        <v>165</v>
      </c>
    </row>
    <row r="53" ht="12.75" customHeight="1">
      <c r="C53" s="6" t="s">
        <v>231</v>
      </c>
      <c r="D53" s="6" t="s">
        <v>232</v>
      </c>
    </row>
    <row r="54" ht="12.75" customHeight="1">
      <c r="C54" s="6" t="s">
        <v>233</v>
      </c>
      <c r="D54" s="6" t="s">
        <v>234</v>
      </c>
    </row>
    <row r="55" ht="12.75" customHeight="1">
      <c r="D55" s="6" t="s">
        <v>235</v>
      </c>
    </row>
    <row r="56" ht="12.75" customHeight="1">
      <c r="D56" s="6" t="s">
        <v>236</v>
      </c>
    </row>
    <row r="57" ht="12.75" customHeight="1">
      <c r="D57" s="6" t="s">
        <v>179</v>
      </c>
    </row>
    <row r="58" ht="12.75" customHeight="1">
      <c r="D58" s="6" t="s">
        <v>237</v>
      </c>
    </row>
    <row r="59" ht="12.75" customHeight="1">
      <c r="D59" s="6" t="s">
        <v>200</v>
      </c>
    </row>
    <row r="60" ht="12.75" customHeight="1">
      <c r="D60" s="6" t="s">
        <v>238</v>
      </c>
    </row>
    <row r="61" ht="12.75" customHeight="1">
      <c r="D61" s="6" t="s">
        <v>185</v>
      </c>
    </row>
    <row r="62" ht="12.75" customHeight="1">
      <c r="D62" s="6" t="s">
        <v>239</v>
      </c>
    </row>
    <row r="64" ht="12.75" customHeight="1">
      <c r="A64" s="6" t="s">
        <v>240</v>
      </c>
      <c r="B64" s="1" t="s">
        <v>128</v>
      </c>
      <c r="C64" s="6" t="s">
        <v>241</v>
      </c>
      <c r="D64" s="6" t="s">
        <v>165</v>
      </c>
    </row>
    <row r="65" ht="12.75" customHeight="1">
      <c r="C65" s="6" t="s">
        <v>242</v>
      </c>
      <c r="D65" s="6" t="s">
        <v>243</v>
      </c>
      <c r="E65" s="14" t="s">
        <v>244</v>
      </c>
    </row>
    <row r="66" ht="12.75" customHeight="1">
      <c r="C66" s="6" t="s">
        <v>245</v>
      </c>
      <c r="D66" s="6" t="s">
        <v>171</v>
      </c>
      <c r="E66" s="15" t="s">
        <v>246</v>
      </c>
    </row>
    <row r="67" ht="12.75" customHeight="1">
      <c r="C67" s="6" t="s">
        <v>247</v>
      </c>
      <c r="D67" s="6" t="s">
        <v>169</v>
      </c>
    </row>
    <row r="68" ht="12.75" customHeight="1">
      <c r="C68" s="6" t="s">
        <v>248</v>
      </c>
      <c r="D68" s="6" t="s">
        <v>249</v>
      </c>
    </row>
    <row r="69" ht="12.75" customHeight="1">
      <c r="C69" s="6" t="s">
        <v>250</v>
      </c>
      <c r="D69" s="6" t="s">
        <v>251</v>
      </c>
    </row>
    <row r="70" ht="12.75" customHeight="1">
      <c r="C70" s="6" t="s">
        <v>252</v>
      </c>
      <c r="D70" s="6" t="s">
        <v>253</v>
      </c>
    </row>
    <row r="71" ht="12.75" customHeight="1">
      <c r="C71" s="6" t="s">
        <v>254</v>
      </c>
      <c r="D71" s="6" t="s">
        <v>255</v>
      </c>
    </row>
    <row r="72" ht="12.75" customHeight="1">
      <c r="D72" s="6" t="s">
        <v>256</v>
      </c>
    </row>
    <row r="73" ht="12.75" customHeight="1">
      <c r="D73" s="6" t="s">
        <v>257</v>
      </c>
    </row>
    <row r="74" ht="12.75" customHeight="1">
      <c r="D74" s="6" t="s">
        <v>181</v>
      </c>
    </row>
    <row r="75" ht="12.75" customHeight="1">
      <c r="D75" s="6" t="s">
        <v>258</v>
      </c>
    </row>
    <row r="76" ht="12.75" customHeight="1">
      <c r="D76" s="6" t="s">
        <v>183</v>
      </c>
    </row>
    <row r="77" ht="12.75" customHeight="1">
      <c r="D77" s="6" t="s">
        <v>200</v>
      </c>
    </row>
    <row r="78" ht="12.75" customHeight="1">
      <c r="D78" s="6" t="s">
        <v>259</v>
      </c>
    </row>
    <row r="79" ht="12.75" customHeight="1">
      <c r="D79" s="6" t="s">
        <v>185</v>
      </c>
    </row>
    <row r="80" ht="12.75" customHeight="1">
      <c r="D80" s="6" t="s">
        <v>260</v>
      </c>
    </row>
    <row r="81" ht="12.75" customHeight="1">
      <c r="D81" s="6" t="s">
        <v>261</v>
      </c>
    </row>
  </sheetData>
  <printOptions headings="1"/>
  <pageMargins left="0.79" right="0.79" top="1.05" bottom="1.05" header="0.79" footer="0.79"/>
  <pageSetup paperSize="1" pageOrder="downThenOver" orientation="portrait"/>
  <headerFooter>
    <oddHeader>&amp;L&amp;C&amp;"Times New Roman,Regular"&amp;12&amp;A&amp;R</oddHeader>
    <oddFooter>&amp;L&amp;C&amp;"Times New Roman,Regular"&amp;12Page &amp;P&amp;R</oddFooter>
  </headerFooter>
  <extLst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295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2026-06-11T19:36:41Z</dcterms:created>
  <dc:creator/>
  <dc:description/>
  <dc:language>en-US</dc:language>
  <cp:lastModifiedBy/>
  <dcterms:modified xsi:type="dcterms:W3CDTF">2026-07-19T00:47:37Z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