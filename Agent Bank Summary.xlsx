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gent Bank Summary" sheetId="1" state="visible" r:id="rId3"/>
    <sheet name="BB Templ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<sst xmlns="http://schemas.openxmlformats.org/spreadsheetml/2006/main" count="389" uniqueCount="262">
  <si>
    <t xml:space="preserve">Agent</t>
  </si>
  <si>
    <t xml:space="preserve">Borrower</t>
  </si>
  <si>
    <t xml:space="preserve">Account Number</t>
  </si>
  <si>
    <t xml:space="preserve">Loan Amount</t>
  </si>
  <si>
    <t xml:space="preserve">Maturity Date</t>
  </si>
  <si>
    <t xml:space="preserve">Facility Status</t>
  </si>
  <si>
    <t xml:space="preserve">Facility Status Date</t>
  </si>
  <si>
    <t xml:space="preserve">Bank of America</t>
  </si>
  <si>
    <t xml:space="preserve">HIG LBO IV, BH III, GB&amp;E III, IV [U]</t>
  </si>
  <si>
    <t xml:space="preserve">5VX1796</t>
  </si>
  <si>
    <t xml:space="preserve">Active</t>
  </si>
  <si>
    <t xml:space="preserve">Brookfield Strat RE IV</t>
  </si>
  <si>
    <t xml:space="preserve">5VW6859</t>
  </si>
  <si>
    <t xml:space="preserve">Carlyle Realty IX</t>
  </si>
  <si>
    <t xml:space="preserve">5VW7911</t>
  </si>
  <si>
    <t xml:space="preserve">Crestview II, III, VI [U]</t>
  </si>
  <si>
    <t xml:space="preserve">5VX6608</t>
  </si>
  <si>
    <t xml:space="preserve">Carlyle Buyout Umbrella</t>
  </si>
  <si>
    <t xml:space="preserve">5VZ8873</t>
  </si>
  <si>
    <t xml:space="preserve">Oaktree Opportunities Fund Xb</t>
  </si>
  <si>
    <t xml:space="preserve">Castlelake Aviation IV Stable Yield LP</t>
  </si>
  <si>
    <t xml:space="preserve">5VZ5764</t>
  </si>
  <si>
    <t xml:space="preserve">Oaktree Opportunities Fund Xb LP</t>
  </si>
  <si>
    <t xml:space="preserve">5VX6615</t>
  </si>
  <si>
    <t xml:space="preserve">Platinum Eq VI</t>
  </si>
  <si>
    <t xml:space="preserve">5VX0814</t>
  </si>
  <si>
    <t xml:space="preserve">Great Hill Equity Partners VIII</t>
  </si>
  <si>
    <t xml:space="preserve">5VX2978</t>
  </si>
  <si>
    <t xml:space="preserve">THL Eq IX</t>
  </si>
  <si>
    <t xml:space="preserve">5VY4074</t>
  </si>
  <si>
    <t xml:space="preserve">Platinum Eq IV</t>
  </si>
  <si>
    <t xml:space="preserve">5VW3197</t>
  </si>
  <si>
    <t xml:space="preserve">Brookfield Strat RE III</t>
  </si>
  <si>
    <t xml:space="preserve">5VX4741</t>
  </si>
  <si>
    <t xml:space="preserve">Platinum Eq Small Cap</t>
  </si>
  <si>
    <t xml:space="preserve">5VX1179</t>
  </si>
  <si>
    <t xml:space="preserve">HarbourVest Dover St. X, X AIF, XI [U]</t>
  </si>
  <si>
    <t xml:space="preserve">5VX4742</t>
  </si>
  <si>
    <t xml:space="preserve">Thoma Bravo Fund XV LP</t>
  </si>
  <si>
    <t xml:space="preserve">5VW4026</t>
  </si>
  <si>
    <t xml:space="preserve">Totals Loan Amount:</t>
  </si>
  <si>
    <t xml:space="preserve">BMO</t>
  </si>
  <si>
    <t xml:space="preserve">TPG Growth VI</t>
  </si>
  <si>
    <t xml:space="preserve">5VY3937</t>
  </si>
  <si>
    <t xml:space="preserve">Brookfield Capital Partners VI L.P.</t>
  </si>
  <si>
    <t xml:space="preserve">5VW7838</t>
  </si>
  <si>
    <t xml:space="preserve">BNYM</t>
  </si>
  <si>
    <t xml:space="preserve">OHA CA Customized Credit Fund LP</t>
  </si>
  <si>
    <t xml:space="preserve">5VW6327</t>
  </si>
  <si>
    <t xml:space="preserve">CIBC</t>
  </si>
  <si>
    <t xml:space="preserve">TPG Tech Adj II</t>
  </si>
  <si>
    <t xml:space="preserve">5VW0525</t>
  </si>
  <si>
    <t xml:space="preserve">City National Bank</t>
  </si>
  <si>
    <t xml:space="preserve">Kayne Anderson Real Estate Opportunistic Debt II</t>
  </si>
  <si>
    <t xml:space="preserve">5VAA120</t>
  </si>
  <si>
    <t xml:space="preserve">JP Morgan</t>
  </si>
  <si>
    <t xml:space="preserve">KKR Ascendant</t>
  </si>
  <si>
    <t xml:space="preserve">5VX8194</t>
  </si>
  <si>
    <t xml:space="preserve">Sculptor Real Estate Fund V</t>
  </si>
  <si>
    <t xml:space="preserve">5VZ7360</t>
  </si>
  <si>
    <t xml:space="preserve">Aurora Equity Partners 7</t>
  </si>
  <si>
    <t xml:space="preserve">5VY9755</t>
  </si>
  <si>
    <t xml:space="preserve">Francisco Partner Agility III</t>
  </si>
  <si>
    <t xml:space="preserve">5VX8197</t>
  </si>
  <si>
    <t xml:space="preserve">Aurora Eq VI</t>
  </si>
  <si>
    <t xml:space="preserve">5VW8105</t>
  </si>
  <si>
    <t xml:space="preserve">Veritas VI, VII, VIII, … [U]</t>
  </si>
  <si>
    <t xml:space="preserve">5VU7840</t>
  </si>
  <si>
    <t xml:space="preserve">Lloyds</t>
  </si>
  <si>
    <t xml:space="preserve">Harbourvest 2000 Global Fund</t>
  </si>
  <si>
    <t xml:space="preserve">5VY5270</t>
  </si>
  <si>
    <t xml:space="preserve">M&amp;T Bank</t>
  </si>
  <si>
    <t xml:space="preserve">Silver Point Specialty Credit III Master Fu</t>
  </si>
  <si>
    <t xml:space="preserve">5VX3195</t>
  </si>
  <si>
    <t xml:space="preserve">Mizuho</t>
  </si>
  <si>
    <t xml:space="preserve">Roark Capital Partners VII</t>
  </si>
  <si>
    <t xml:space="preserve">5VZ2053</t>
  </si>
  <si>
    <t xml:space="preserve">Roark Capital Partners VI</t>
  </si>
  <si>
    <t xml:space="preserve">5VZ2054</t>
  </si>
  <si>
    <t xml:space="preserve">Morgan Stanley</t>
  </si>
  <si>
    <t xml:space="preserve">HIG MM LBO IV</t>
  </si>
  <si>
    <t xml:space="preserve">5VX1795</t>
  </si>
  <si>
    <t xml:space="preserve">HIG MM LBO III</t>
  </si>
  <si>
    <t xml:space="preserve">5VU6465</t>
  </si>
  <si>
    <t xml:space="preserve">Lonestar Fund XII</t>
  </si>
  <si>
    <t xml:space="preserve">5VX2839</t>
  </si>
  <si>
    <t xml:space="preserve">Resolute VI</t>
  </si>
  <si>
    <t xml:space="preserve">5VY0239</t>
  </si>
  <si>
    <t xml:space="preserve">Natixis</t>
  </si>
  <si>
    <t xml:space="preserve">CD&amp;R X, VI, XII [U]</t>
  </si>
  <si>
    <t xml:space="preserve">5VX4757</t>
  </si>
  <si>
    <t xml:space="preserve">5VY8943</t>
  </si>
  <si>
    <t xml:space="preserve">PNC</t>
  </si>
  <si>
    <t xml:space="preserve">Strategic Value Spec Sit V</t>
  </si>
  <si>
    <t xml:space="preserve">5VX6327</t>
  </si>
  <si>
    <t xml:space="preserve">Silicon Valley Bank (A division of First Citizens Bank)</t>
  </si>
  <si>
    <t xml:space="preserve">Audax Private Equity Fund VII LP (Uncommitted)</t>
  </si>
  <si>
    <t xml:space="preserve">5VAB068</t>
  </si>
  <si>
    <t xml:space="preserve">Arctos Keystone Partners Fund I (Committed)</t>
  </si>
  <si>
    <t xml:space="preserve">5VZ9848</t>
  </si>
  <si>
    <t xml:space="preserve">Arctos Sports Fund II</t>
  </si>
  <si>
    <t xml:space="preserve">5VY4509</t>
  </si>
  <si>
    <t xml:space="preserve">Audax Private Equity Fund VII LP (Committed)</t>
  </si>
  <si>
    <t xml:space="preserve">5VAB067</t>
  </si>
  <si>
    <t xml:space="preserve">Arctos American Football Fund (Committed)</t>
  </si>
  <si>
    <t xml:space="preserve">5VZ4752</t>
  </si>
  <si>
    <t xml:space="preserve">Arctos Keystone Partners Fund I (Uncommitted)</t>
  </si>
  <si>
    <t xml:space="preserve">5VZ9849</t>
  </si>
  <si>
    <t xml:space="preserve">Arctos American Football Fund (Uncommitted)</t>
  </si>
  <si>
    <t xml:space="preserve">5VZ4753</t>
  </si>
  <si>
    <t xml:space="preserve">COMVEST CREDIT PARTNERS VII (UNCOMMITTED)</t>
  </si>
  <si>
    <t xml:space="preserve">5VY7842</t>
  </si>
  <si>
    <t xml:space="preserve">COMVEST CREDIT PARTNERS VII (COMMITTED)</t>
  </si>
  <si>
    <t xml:space="preserve">5VY7714</t>
  </si>
  <si>
    <t xml:space="preserve">5VY4577</t>
  </si>
  <si>
    <t xml:space="preserve">SMBC</t>
  </si>
  <si>
    <t xml:space="preserve">NB PD IV EQUITY LP</t>
  </si>
  <si>
    <t xml:space="preserve">5VX1099</t>
  </si>
  <si>
    <t xml:space="preserve">West Street Mezz VIII</t>
  </si>
  <si>
    <t xml:space="preserve">5VX1620</t>
  </si>
  <si>
    <t xml:space="preserve">Societe Generale</t>
  </si>
  <si>
    <t xml:space="preserve">AG DL V</t>
  </si>
  <si>
    <t xml:space="preserve">5VX1128</t>
  </si>
  <si>
    <t xml:space="preserve">AG ABC</t>
  </si>
  <si>
    <t xml:space="preserve">5VW9108</t>
  </si>
  <si>
    <t xml:space="preserve">UBS Bank USA</t>
  </si>
  <si>
    <t xml:space="preserve">EDISON PARTNERS XI LP;</t>
  </si>
  <si>
    <t xml:space="preserve">5VY6837</t>
  </si>
  <si>
    <t xml:space="preserve">Wells Fargo</t>
  </si>
  <si>
    <t xml:space="preserve">Blue Owl GP Stakes V (A) LP</t>
  </si>
  <si>
    <t xml:space="preserve">5VAD225</t>
  </si>
  <si>
    <t xml:space="preserve">5VW9761</t>
  </si>
  <si>
    <t xml:space="preserve">K6 PRIVATE INVESTORS LP</t>
  </si>
  <si>
    <t xml:space="preserve">5VY4364</t>
  </si>
  <si>
    <t xml:space="preserve">Antares Sen Loan II</t>
  </si>
  <si>
    <t xml:space="preserve">5VX1598</t>
  </si>
  <si>
    <t xml:space="preserve">StepStone Secondary Opportunities Fund VI, LP</t>
  </si>
  <si>
    <t xml:space="preserve">5VAD673</t>
  </si>
  <si>
    <t xml:space="preserve">Petershill IV</t>
  </si>
  <si>
    <t xml:space="preserve">5VU9894</t>
  </si>
  <si>
    <t xml:space="preserve">Genercal Atlantic Core Program</t>
  </si>
  <si>
    <t xml:space="preserve">5VT6271</t>
  </si>
  <si>
    <t xml:space="preserve">Whitehorse Liq V</t>
  </si>
  <si>
    <t xml:space="preserve">5VX1997</t>
  </si>
  <si>
    <t xml:space="preserve">Roark Continuation</t>
  </si>
  <si>
    <t xml:space="preserve">5VX8318</t>
  </si>
  <si>
    <t xml:space="preserve">PSG VI, LP</t>
  </si>
  <si>
    <t xml:space="preserve">5VY8120</t>
  </si>
  <si>
    <t xml:space="preserve">GTCR FUND XIV/A LP</t>
  </si>
  <si>
    <t xml:space="preserve">5VY0034</t>
  </si>
  <si>
    <t xml:space="preserve">K5 Priv Inv</t>
  </si>
  <si>
    <t xml:space="preserve">5VX4537</t>
  </si>
  <si>
    <t xml:space="preserve">HIG ADVANTAGE BUYOUT</t>
  </si>
  <si>
    <t xml:space="preserve">5VY4260</t>
  </si>
  <si>
    <t xml:space="preserve">Kohlberg Investors X</t>
  </si>
  <si>
    <t xml:space="preserve">5VX7941</t>
  </si>
  <si>
    <t xml:space="preserve">Francisco Partners VII</t>
  </si>
  <si>
    <t xml:space="preserve">5VX6087</t>
  </si>
  <si>
    <t xml:space="preserve">Totals Loan Amount1:</t>
  </si>
  <si>
    <t xml:space="preserve">Template</t>
  </si>
  <si>
    <t xml:space="preserve">Details</t>
  </si>
  <si>
    <t xml:space="preserve">Column Headers</t>
  </si>
  <si>
    <t xml:space="preserve">Legend</t>
  </si>
  <si>
    <t xml:space="preserve">KKR Ascendant Fund</t>
  </si>
  <si>
    <t xml:space="preserve">One tab (Borrowing Base)</t>
  </si>
  <si>
    <t xml:space="preserve">Investor</t>
  </si>
  <si>
    <r>
      <rPr>
        <sz val="10"/>
        <rFont val="Arial"/>
        <family val="2"/>
        <charset val="1"/>
      </rPr>
      <t xml:space="preserve">Row 2: Title: </t>
    </r>
    <r>
      <rPr>
        <b val="true"/>
        <sz val="10"/>
        <rFont val="Arial"/>
        <family val="2"/>
        <charset val="1"/>
      </rPr>
      <t xml:space="preserve">KKR Ascendant – Borrowing Base</t>
    </r>
  </si>
  <si>
    <t xml:space="preserve">Fund Sleeve</t>
  </si>
  <si>
    <t xml:space="preserve">Rows 3-9: Summaries</t>
  </si>
  <si>
    <t xml:space="preserve">Moody’s</t>
  </si>
  <si>
    <t xml:space="preserve">Row 10: Column Headers (listed in next column)</t>
  </si>
  <si>
    <t xml:space="preserve">S&amp;P</t>
  </si>
  <si>
    <t xml:space="preserve">Header Column: Rated Included Investors, followed by subtotal</t>
  </si>
  <si>
    <t xml:space="preserve">Net Worth</t>
  </si>
  <si>
    <t xml:space="preserve">Header Column: Non-Rated Included Investors, followed by subtotal</t>
  </si>
  <si>
    <t xml:space="preserve">Total Commitment</t>
  </si>
  <si>
    <t xml:space="preserve">Header Column: Designated Investors, followed by subtotal</t>
  </si>
  <si>
    <t xml:space="preserve">Funded Commitment</t>
  </si>
  <si>
    <t xml:space="preserve">Header Column: Borrowing Base Investors, followed by subtotal</t>
  </si>
  <si>
    <t xml:space="preserve">Unfunded Commitment</t>
  </si>
  <si>
    <t xml:space="preserve">Header Column: Hurdle Investors, followed by subtotal</t>
  </si>
  <si>
    <t xml:space="preserve">% Total Unfunded Commitment</t>
  </si>
  <si>
    <t xml:space="preserve">Header Column: Excluded Investors, followed by subtotal</t>
  </si>
  <si>
    <t xml:space="preserve">Concentration Limit</t>
  </si>
  <si>
    <t xml:space="preserve">Eligible Unfunded Commitment</t>
  </si>
  <si>
    <t xml:space="preserve">Advance Rate</t>
  </si>
  <si>
    <t xml:space="preserve">Borrowing Base</t>
  </si>
  <si>
    <t xml:space="preserve">Audax Fund VII</t>
  </si>
  <si>
    <t xml:space="preserve">Silicon Valley Bank</t>
  </si>
  <si>
    <t xml:space="preserve">Multiple tabs (Investor List)</t>
  </si>
  <si>
    <t xml:space="preserve">Transferred From</t>
  </si>
  <si>
    <t xml:space="preserve">Row 4: Deal Name: Nerdio</t>
  </si>
  <si>
    <t xml:space="preserve">Row 9-10: Borrowers</t>
  </si>
  <si>
    <t xml:space="preserve">Borrowing Partnership</t>
  </si>
  <si>
    <t xml:space="preserve">Column 13: Column Headers (listed in next column)</t>
  </si>
  <si>
    <t xml:space="preserve">GA ID</t>
  </si>
  <si>
    <t xml:space="preserve">No Header Columns</t>
  </si>
  <si>
    <t xml:space="preserve">Included/Excluded Investor</t>
  </si>
  <si>
    <t xml:space="preserve">Capital Commitments</t>
  </si>
  <si>
    <t xml:space="preserve">% Included Unfunded Commitment</t>
  </si>
  <si>
    <t xml:space="preserve">Excess Concentration</t>
  </si>
  <si>
    <t xml:space="preserve">Post-CL Unfunded Commitment</t>
  </si>
  <si>
    <t xml:space="preserve">Pre-Adjustment Borrowing Base Contribution</t>
  </si>
  <si>
    <t xml:space="preserve">Borrowing Base Adjustment</t>
  </si>
  <si>
    <t xml:space="preserve">CCP VII Lev M &amp; M</t>
  </si>
  <si>
    <t xml:space="preserve">Investor Name</t>
  </si>
  <si>
    <r>
      <rPr>
        <sz val="10"/>
        <rFont val="Arial"/>
        <family val="2"/>
        <charset val="1"/>
      </rPr>
      <t xml:space="preserve">Row 3: Title: </t>
    </r>
    <r>
      <rPr>
        <b val="true"/>
        <sz val="10"/>
        <rFont val="Arial"/>
        <family val="2"/>
        <charset val="1"/>
      </rPr>
      <t xml:space="preserve">Comvest Credit Partners VII, LP.</t>
    </r>
  </si>
  <si>
    <t xml:space="preserve">Excluded</t>
  </si>
  <si>
    <t xml:space="preserve">Row 7: Column Headers (listed in next column)</t>
  </si>
  <si>
    <t xml:space="preserve">Defaulting?</t>
  </si>
  <si>
    <t xml:space="preserve">Header Column: Levered (Delaware) Feeder, followed by subtotal</t>
  </si>
  <si>
    <t xml:space="preserve">Claimed/Exercised Rights?</t>
  </si>
  <si>
    <t xml:space="preserve">Header Column: (Cayman) Feeder, L.P., followed by subtotal</t>
  </si>
  <si>
    <t xml:space="preserve">Committed Capital</t>
  </si>
  <si>
    <t xml:space="preserve">Header Column: (Delaware) Feeder, L.P., followed by subtotal</t>
  </si>
  <si>
    <t xml:space="preserve">Recallable Distribution</t>
  </si>
  <si>
    <t xml:space="preserve">Header Column: Lux Intermediate, followed by subtotal</t>
  </si>
  <si>
    <t xml:space="preserve">Remaining Callable Capital</t>
  </si>
  <si>
    <t xml:space="preserve">Header Column: Lux Non-Treaty Feeder, followed by subtotal</t>
  </si>
  <si>
    <t xml:space="preserve">AEP VII</t>
  </si>
  <si>
    <t xml:space="preserve">One tab (BB)</t>
  </si>
  <si>
    <t xml:space="preserve">Green Shading: LPs new to the BB not via LP Transfer</t>
  </si>
  <si>
    <r>
      <rPr>
        <sz val="10"/>
        <rFont val="Arial"/>
        <family val="2"/>
        <charset val="1"/>
      </rPr>
      <t xml:space="preserve">Line 2: Title: </t>
    </r>
    <r>
      <rPr>
        <b val="true"/>
        <sz val="10"/>
        <rFont val="Arial"/>
        <family val="2"/>
        <charset val="1"/>
      </rPr>
      <t xml:space="preserve">AURORA EQUITY PARTNERS VII LP</t>
    </r>
  </si>
  <si>
    <t xml:space="preserve">Yellow Shading: LPs new to the BB via LP Transfer</t>
  </si>
  <si>
    <t xml:space="preserve">Row 3-9: Summaries </t>
  </si>
  <si>
    <t xml:space="preserve">Blue Text: LPs with a change in Commitment Amount</t>
  </si>
  <si>
    <t xml:space="preserve">Row 11: Column Headers</t>
  </si>
  <si>
    <t xml:space="preserve">Underlined Text: LPs with a change in Category</t>
  </si>
  <si>
    <t xml:space="preserve">Header Column: Non-Rated Included Investors, followed by a subtotal</t>
  </si>
  <si>
    <t xml:space="preserve">CP VII</t>
  </si>
  <si>
    <t xml:space="preserve">Multiple tabs (BB)</t>
  </si>
  <si>
    <r>
      <rPr>
        <sz val="10"/>
        <rFont val="Arial"/>
        <family val="2"/>
        <charset val="1"/>
      </rPr>
      <t xml:space="preserve">Row 83: Title: </t>
    </r>
    <r>
      <rPr>
        <b val="true"/>
        <sz val="10"/>
        <rFont val="Arial"/>
        <family val="2"/>
        <charset val="1"/>
      </rPr>
      <t xml:space="preserve">Carlyle Partners VII</t>
    </r>
  </si>
  <si>
    <t xml:space="preserve">Total Capital Commitments</t>
  </si>
  <si>
    <t xml:space="preserve">Row 84-85: Column Headers</t>
  </si>
  <si>
    <t xml:space="preserve">% of Eligible Commitments</t>
  </si>
  <si>
    <t xml:space="preserve">% of All Commitments</t>
  </si>
  <si>
    <t xml:space="preserve">Contributions Called to Date</t>
  </si>
  <si>
    <t xml:space="preserve">Excess Concentration %</t>
  </si>
  <si>
    <t xml:space="preserve">Eligible Contribution</t>
  </si>
  <si>
    <t xml:space="preserve">Availability</t>
  </si>
  <si>
    <t xml:space="preserve">Blue Owl GP Stakes V</t>
  </si>
  <si>
    <t xml:space="preserve">Multiple tabs (Agent BB)</t>
  </si>
  <si>
    <r>
      <rPr>
        <sz val="10"/>
        <rFont val="Arial"/>
        <family val="2"/>
        <charset val="1"/>
      </rPr>
      <t xml:space="preserve">Row 2: Title: </t>
    </r>
    <r>
      <rPr>
        <b val="true"/>
        <sz val="10"/>
        <rFont val="Arial"/>
        <family val="2"/>
        <charset val="1"/>
      </rPr>
      <t xml:space="preserve">Blue Owl GP Stakes V – Subscription Facility Borrowing Base</t>
    </r>
  </si>
  <si>
    <t xml:space="preserve">Parent / Sponsor / Manager</t>
  </si>
  <si>
    <r>
      <rPr>
        <sz val="10"/>
        <rFont val="Arial"/>
        <family val="2"/>
        <charset val="1"/>
      </rPr>
      <t xml:space="preserve">Rose Background: </t>
    </r>
    <r>
      <rPr>
        <b val="true"/>
        <sz val="10"/>
        <rFont val="Arial"/>
        <family val="2"/>
        <charset val="1"/>
      </rPr>
      <t xml:space="preserve">Reclassified</t>
    </r>
  </si>
  <si>
    <t xml:space="preserve">Rows 3-17: Summary tables</t>
  </si>
  <si>
    <r>
      <rPr>
        <sz val="10"/>
        <rFont val="Arial"/>
        <family val="2"/>
        <charset val="1"/>
      </rPr>
      <t xml:space="preserve">Light Turquoise Background: </t>
    </r>
    <r>
      <rPr>
        <b val="true"/>
        <sz val="10"/>
        <rFont val="Arial"/>
        <family val="2"/>
        <charset val="1"/>
      </rPr>
      <t xml:space="preserve">Transferee</t>
    </r>
  </si>
  <si>
    <t xml:space="preserve">Row 18: Column Headers</t>
  </si>
  <si>
    <t xml:space="preserve">Header Column: A. Rated Investors, followed by subtotal</t>
  </si>
  <si>
    <t xml:space="preserve">Net Assets (range)</t>
  </si>
  <si>
    <t xml:space="preserve">Header Column: B. Unrated Investors, followed by subtotal</t>
  </si>
  <si>
    <t xml:space="preserve">Individual Original Commitment</t>
  </si>
  <si>
    <t xml:space="preserve">Header Column: C. Eligible Investors, followed by subtotal</t>
  </si>
  <si>
    <t xml:space="preserve">Original Commitment</t>
  </si>
  <si>
    <t xml:space="preserve">Header Column: D. Excluded Investors, followed by subtotal</t>
  </si>
  <si>
    <t xml:space="preserve">Individual Unfunded Commitment</t>
  </si>
  <si>
    <t xml:space="preserve">Unfunded Capital Commitment</t>
  </si>
  <si>
    <t xml:space="preserve">% Called</t>
  </si>
  <si>
    <t xml:space="preserve">% Eligible Unfunded Commitment</t>
  </si>
  <si>
    <t xml:space="preserve">Eligible Commitment</t>
  </si>
  <si>
    <t xml:space="preserve">Borrowing Base Contribution</t>
  </si>
  <si>
    <t xml:space="preserve">% of Borrowing Base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</si>
</sst>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mm/dd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2A6099"/>
      <name val="Arial"/>
      <family val="2"/>
      <charset val="1"/>
    </font>
    <font>
      <u val="singl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  <fill>
      <patternFill patternType="solid">
        <fgColor rgb="FFF7D1D5"/>
        <bgColor rgb="FFCCCCFF"/>
      </patternFill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8.43"/>
    <col collapsed="false" customWidth="true" hidden="false" outlineLevel="0" max="2" min="2" style="1" width="45.75"/>
    <col collapsed="false" customWidth="true" hidden="false" outlineLevel="0" max="3" min="3" style="2" width="26.98"/>
    <col collapsed="false" customWidth="true" hidden="false" outlineLevel="0" max="4" min="4" style="3" width="21"/>
    <col collapsed="false" customWidth="true" hidden="false" outlineLevel="0" max="5" min="5" style="4" width="18.49"/>
    <col collapsed="false" customWidth="true" hidden="false" outlineLevel="0" max="6" min="6" style="2" width="21.83"/>
    <col collapsed="false" customWidth="true" hidden="false" outlineLevel="0" max="7" min="7" style="4" width="21.28"/>
  </cols>
  <sheetData>
    <row r="1" customFormat="false" ht="12.8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</row>
    <row r="2" customFormat="false" ht="12.8" hidden="false" customHeight="false" outlineLevel="0" collapsed="false">
      <c r="A2" s="9" t="s">
        <v>7</v>
      </c>
    </row>
    <row r="3" customFormat="false" ht="12.8" hidden="false" customHeight="false" outlineLevel="0" collapsed="false">
      <c r="A3" s="5"/>
      <c r="B3" s="1" t="s">
        <v>8</v>
      </c>
      <c r="C3" s="2" t="s">
        <v>9</v>
      </c>
      <c r="D3" s="3" t="n">
        <v>75000000</v>
      </c>
      <c r="E3" s="4" t="n">
        <v>46321</v>
      </c>
      <c r="F3" s="2" t="s">
        <v>10</v>
      </c>
      <c r="G3" s="4" t="n">
        <v>46163</v>
      </c>
    </row>
    <row r="4" customFormat="false" ht="12.8" hidden="false" customHeight="false" outlineLevel="0" collapsed="false">
      <c r="A4" s="5"/>
      <c r="B4" s="1" t="s">
        <v>11</v>
      </c>
      <c r="C4" s="2" t="s">
        <v>12</v>
      </c>
      <c r="D4" s="3" t="n">
        <v>87500000</v>
      </c>
      <c r="E4" s="4" t="n">
        <v>46528</v>
      </c>
      <c r="F4" s="2" t="s">
        <v>10</v>
      </c>
      <c r="G4" s="4" t="n">
        <v>46129</v>
      </c>
    </row>
    <row r="5" customFormat="false" ht="12.8" hidden="false" customHeight="false" outlineLevel="0" collapsed="false">
      <c r="A5" s="5"/>
      <c r="B5" s="1" t="s">
        <v>13</v>
      </c>
      <c r="C5" s="2" t="s">
        <v>14</v>
      </c>
      <c r="D5" s="3" t="n">
        <v>300000000</v>
      </c>
      <c r="E5" s="4" t="n">
        <v>46521</v>
      </c>
      <c r="F5" s="2" t="s">
        <v>10</v>
      </c>
      <c r="G5" s="4" t="n">
        <v>46136</v>
      </c>
    </row>
    <row r="6" customFormat="false" ht="12.8" hidden="false" customHeight="false" outlineLevel="0" collapsed="false">
      <c r="A6" s="5"/>
      <c r="B6" s="1" t="s">
        <v>15</v>
      </c>
      <c r="C6" s="2" t="s">
        <v>16</v>
      </c>
      <c r="D6" s="3" t="n">
        <v>67829457</v>
      </c>
      <c r="E6" s="4" t="n">
        <v>46450</v>
      </c>
      <c r="F6" s="2" t="s">
        <v>10</v>
      </c>
      <c r="G6" s="4" t="n">
        <v>46114</v>
      </c>
    </row>
    <row r="7" customFormat="false" ht="12.8" hidden="false" customHeight="false" outlineLevel="0" collapsed="false">
      <c r="A7" s="5"/>
      <c r="B7" s="1" t="s">
        <v>17</v>
      </c>
      <c r="C7" s="2" t="s">
        <v>18</v>
      </c>
      <c r="D7" s="3" t="n">
        <v>100000000</v>
      </c>
      <c r="E7" s="4" t="n">
        <v>46764</v>
      </c>
      <c r="F7" s="2" t="s">
        <v>10</v>
      </c>
      <c r="G7" s="4" t="n">
        <v>46155</v>
      </c>
    </row>
    <row r="8" customFormat="false" ht="12.8" hidden="false" customHeight="false" outlineLevel="0" collapsed="false">
      <c r="A8" s="5"/>
      <c r="B8" s="1" t="s">
        <v>19</v>
      </c>
      <c r="C8" s="2" t="s">
        <v>18</v>
      </c>
      <c r="D8" s="3" t="n">
        <v>112000000</v>
      </c>
      <c r="E8" s="4" t="n">
        <v>46589</v>
      </c>
      <c r="F8" s="2" t="s">
        <v>10</v>
      </c>
      <c r="G8" s="4" t="n">
        <v>45861</v>
      </c>
    </row>
    <row r="9" customFormat="false" ht="12.8" hidden="false" customHeight="false" outlineLevel="0" collapsed="false">
      <c r="A9" s="5"/>
      <c r="B9" s="1" t="s">
        <v>20</v>
      </c>
      <c r="C9" s="2" t="s">
        <v>21</v>
      </c>
      <c r="D9" s="3" t="n">
        <v>92000000</v>
      </c>
      <c r="E9" s="4" t="n">
        <v>46367</v>
      </c>
      <c r="F9" s="2" t="s">
        <v>10</v>
      </c>
      <c r="G9" s="4" t="n">
        <v>46158</v>
      </c>
    </row>
    <row r="10" customFormat="false" ht="12.8" hidden="false" customHeight="false" outlineLevel="0" collapsed="false">
      <c r="A10" s="5"/>
      <c r="B10" s="1" t="s">
        <v>22</v>
      </c>
      <c r="C10" s="2" t="s">
        <v>23</v>
      </c>
      <c r="D10" s="3" t="n">
        <v>112000000</v>
      </c>
      <c r="E10" s="4" t="n">
        <v>46589</v>
      </c>
      <c r="F10" s="2" t="s">
        <v>10</v>
      </c>
      <c r="G10" s="4" t="n">
        <v>45861</v>
      </c>
    </row>
    <row r="11" customFormat="false" ht="12.8" hidden="false" customHeight="false" outlineLevel="0" collapsed="false">
      <c r="A11" s="5"/>
      <c r="B11" s="1" t="s">
        <v>24</v>
      </c>
      <c r="C11" s="2" t="s">
        <v>25</v>
      </c>
      <c r="D11" s="3" t="n">
        <v>300000000</v>
      </c>
      <c r="E11" s="4" t="n">
        <v>46640</v>
      </c>
      <c r="F11" s="2" t="s">
        <v>10</v>
      </c>
      <c r="G11" s="4" t="n">
        <v>45917</v>
      </c>
    </row>
    <row r="12" customFormat="false" ht="12.8" hidden="false" customHeight="false" outlineLevel="0" collapsed="false">
      <c r="A12" s="5"/>
      <c r="B12" s="1" t="s">
        <v>26</v>
      </c>
      <c r="C12" s="2" t="s">
        <v>27</v>
      </c>
      <c r="D12" s="3" t="n">
        <v>135000000</v>
      </c>
      <c r="E12" s="4" t="n">
        <v>46521</v>
      </c>
      <c r="F12" s="2" t="s">
        <v>10</v>
      </c>
      <c r="G12" s="4" t="n">
        <v>46158</v>
      </c>
    </row>
    <row r="13" customFormat="false" ht="12.8" hidden="false" customHeight="false" outlineLevel="0" collapsed="false">
      <c r="A13" s="5"/>
      <c r="B13" s="1" t="s">
        <v>28</v>
      </c>
      <c r="C13" s="2" t="s">
        <v>29</v>
      </c>
      <c r="D13" s="3" t="n">
        <v>73076924</v>
      </c>
      <c r="E13" s="4" t="n">
        <v>46492</v>
      </c>
      <c r="F13" s="2" t="s">
        <v>10</v>
      </c>
      <c r="G13" s="4" t="n">
        <v>46129</v>
      </c>
    </row>
    <row r="14" customFormat="false" ht="12.8" hidden="false" customHeight="false" outlineLevel="0" collapsed="false">
      <c r="A14" s="5"/>
      <c r="B14" s="1" t="s">
        <v>30</v>
      </c>
      <c r="C14" s="2" t="s">
        <v>31</v>
      </c>
      <c r="D14" s="3" t="n">
        <v>45000000</v>
      </c>
      <c r="E14" s="4" t="n">
        <v>46402</v>
      </c>
      <c r="F14" s="2" t="s">
        <v>10</v>
      </c>
      <c r="G14" s="4" t="n">
        <v>46184</v>
      </c>
    </row>
    <row r="15" customFormat="false" ht="12.8" hidden="false" customHeight="false" outlineLevel="0" collapsed="false">
      <c r="A15" s="5"/>
      <c r="B15" s="1" t="s">
        <v>32</v>
      </c>
      <c r="C15" s="2" t="s">
        <v>33</v>
      </c>
      <c r="D15" s="3" t="n">
        <v>175000000</v>
      </c>
      <c r="E15" s="4" t="n">
        <v>46633</v>
      </c>
      <c r="F15" s="2" t="s">
        <v>10</v>
      </c>
      <c r="G15" s="4" t="n">
        <v>45906</v>
      </c>
    </row>
    <row r="16" customFormat="false" ht="12.8" hidden="false" customHeight="false" outlineLevel="0" collapsed="false">
      <c r="A16" s="5"/>
      <c r="B16" s="1" t="s">
        <v>34</v>
      </c>
      <c r="C16" s="2" t="s">
        <v>35</v>
      </c>
      <c r="D16" s="3" t="n">
        <v>75000000</v>
      </c>
      <c r="E16" s="4" t="n">
        <v>46619</v>
      </c>
      <c r="F16" s="2" t="s">
        <v>10</v>
      </c>
      <c r="G16" s="4" t="n">
        <v>45890</v>
      </c>
    </row>
    <row r="17" customFormat="false" ht="12.8" hidden="false" customHeight="false" outlineLevel="0" collapsed="false">
      <c r="A17" s="5"/>
      <c r="B17" s="1" t="s">
        <v>36</v>
      </c>
      <c r="C17" s="2" t="s">
        <v>37</v>
      </c>
      <c r="D17" s="3" t="n">
        <v>300000000</v>
      </c>
      <c r="E17" s="4" t="n">
        <v>46832</v>
      </c>
      <c r="F17" s="2" t="s">
        <v>10</v>
      </c>
      <c r="G17" s="4" t="n">
        <v>46156</v>
      </c>
    </row>
    <row r="18" customFormat="false" ht="12.8" hidden="false" customHeight="false" outlineLevel="0" collapsed="false">
      <c r="A18" s="5"/>
      <c r="B18" s="1" t="s">
        <v>38</v>
      </c>
      <c r="C18" s="2" t="s">
        <v>39</v>
      </c>
      <c r="D18" s="3" t="n">
        <v>175000000</v>
      </c>
      <c r="E18" s="4" t="n">
        <v>47025</v>
      </c>
      <c r="F18" s="2" t="s">
        <v>10</v>
      </c>
      <c r="G18" s="4" t="n">
        <v>46056</v>
      </c>
    </row>
    <row r="19" customFormat="false" ht="12.8" hidden="false" customHeight="false" outlineLevel="0" collapsed="false">
      <c r="A19" s="5"/>
      <c r="C19" s="6" t="s">
        <v>40</v>
      </c>
      <c r="D19" s="7" t="n">
        <f aca="false">SUM(D3:D18)</f>
        <v>2224406381</v>
      </c>
    </row>
    <row r="20" customFormat="false" ht="12.8" hidden="false" customHeight="false" outlineLevel="0" collapsed="false">
      <c r="A20" s="5" t="s">
        <v>41</v>
      </c>
    </row>
    <row r="21" customFormat="false" ht="12.8" hidden="false" customHeight="false" outlineLevel="0" collapsed="false">
      <c r="A21" s="5"/>
      <c r="B21" s="1" t="s">
        <v>42</v>
      </c>
      <c r="C21" s="2" t="s">
        <v>43</v>
      </c>
      <c r="D21" s="3" t="n">
        <v>200000000</v>
      </c>
      <c r="E21" s="4" t="n">
        <v>46241</v>
      </c>
      <c r="F21" s="2" t="s">
        <v>10</v>
      </c>
      <c r="G21" s="4" t="n">
        <v>46088</v>
      </c>
    </row>
    <row r="22" customFormat="false" ht="12.8" hidden="false" customHeight="false" outlineLevel="0" collapsed="false">
      <c r="A22" s="5"/>
      <c r="B22" s="1" t="s">
        <v>44</v>
      </c>
      <c r="C22" s="2" t="s">
        <v>45</v>
      </c>
      <c r="D22" s="3" t="n">
        <v>132500000</v>
      </c>
      <c r="E22" s="4" t="n">
        <v>46380</v>
      </c>
      <c r="F22" s="2" t="s">
        <v>10</v>
      </c>
      <c r="G22" s="4" t="n">
        <v>45987</v>
      </c>
    </row>
    <row r="23" customFormat="false" ht="12.8" hidden="false" customHeight="false" outlineLevel="0" collapsed="false">
      <c r="A23" s="5"/>
      <c r="C23" s="6" t="s">
        <v>40</v>
      </c>
      <c r="D23" s="7" t="n">
        <f aca="false">SUM(D21, D22)</f>
        <v>332500000</v>
      </c>
    </row>
    <row r="24" customFormat="false" ht="12.8" hidden="false" customHeight="false" outlineLevel="0" collapsed="false">
      <c r="A24" s="5" t="s">
        <v>46</v>
      </c>
    </row>
    <row r="25" customFormat="false" ht="12.8" hidden="false" customHeight="false" outlineLevel="0" collapsed="false">
      <c r="B25" s="1" t="s">
        <v>47</v>
      </c>
      <c r="C25" s="2" t="s">
        <v>48</v>
      </c>
      <c r="D25" s="3" t="n">
        <v>150000000</v>
      </c>
      <c r="E25" s="4" t="n">
        <v>46395</v>
      </c>
      <c r="F25" s="2" t="s">
        <v>10</v>
      </c>
      <c r="G25" s="4" t="n">
        <v>46023</v>
      </c>
    </row>
    <row r="26" customFormat="false" ht="12.8" hidden="false" customHeight="false" outlineLevel="0" collapsed="false">
      <c r="C26" s="6" t="s">
        <v>40</v>
      </c>
      <c r="D26" s="7" t="n">
        <f aca="false">SUM(D25)</f>
        <v>150000000</v>
      </c>
    </row>
    <row r="27" customFormat="false" ht="12.8" hidden="false" customHeight="false" outlineLevel="0" collapsed="false">
      <c r="A27" s="5" t="s">
        <v>49</v>
      </c>
    </row>
    <row r="28" customFormat="false" ht="12.8" hidden="false" customHeight="false" outlineLevel="0" collapsed="false">
      <c r="A28" s="5"/>
      <c r="B28" s="1" t="s">
        <v>50</v>
      </c>
      <c r="C28" s="2" t="s">
        <v>51</v>
      </c>
      <c r="D28" s="3" t="n">
        <v>165000000</v>
      </c>
      <c r="E28" s="4" t="n">
        <v>46533</v>
      </c>
      <c r="F28" s="2" t="s">
        <v>10</v>
      </c>
      <c r="G28" s="4" t="n">
        <v>46162</v>
      </c>
    </row>
    <row r="29" customFormat="false" ht="12.8" hidden="false" customHeight="false" outlineLevel="0" collapsed="false">
      <c r="A29" s="5"/>
      <c r="C29" s="6" t="s">
        <v>40</v>
      </c>
      <c r="D29" s="7" t="n">
        <f aca="false">SUM($D28)</f>
        <v>165000000</v>
      </c>
    </row>
    <row r="30" customFormat="false" ht="12.8" hidden="false" customHeight="false" outlineLevel="0" collapsed="false">
      <c r="A30" s="5" t="s">
        <v>52</v>
      </c>
    </row>
    <row r="31" customFormat="false" ht="12.8" hidden="false" customHeight="false" outlineLevel="0" collapsed="false">
      <c r="A31" s="5"/>
      <c r="B31" s="1" t="s">
        <v>53</v>
      </c>
      <c r="C31" s="2" t="s">
        <v>54</v>
      </c>
      <c r="D31" s="3" t="n">
        <v>125000000</v>
      </c>
      <c r="E31" s="4" t="n">
        <v>46274</v>
      </c>
      <c r="F31" s="2" t="s">
        <v>10</v>
      </c>
      <c r="G31" s="4" t="n">
        <v>46024</v>
      </c>
    </row>
    <row r="32" customFormat="false" ht="12.8" hidden="false" customHeight="false" outlineLevel="0" collapsed="false">
      <c r="A32" s="5"/>
      <c r="C32" s="6" t="s">
        <v>40</v>
      </c>
      <c r="D32" s="7" t="n">
        <f aca="false">SUM($D31)</f>
        <v>125000000</v>
      </c>
    </row>
    <row r="33" customFormat="false" ht="12.8" hidden="false" customHeight="false" outlineLevel="0" collapsed="false">
      <c r="A33" s="5" t="s">
        <v>55</v>
      </c>
    </row>
    <row r="34" customFormat="false" ht="12.8" hidden="false" customHeight="false" outlineLevel="0" collapsed="false">
      <c r="A34" s="5"/>
      <c r="B34" s="1" t="s">
        <v>56</v>
      </c>
      <c r="C34" s="2" t="s">
        <v>57</v>
      </c>
      <c r="D34" s="3" t="n">
        <v>213157895</v>
      </c>
      <c r="E34" s="4" t="n">
        <v>46209</v>
      </c>
      <c r="F34" s="2" t="s">
        <v>10</v>
      </c>
      <c r="G34" s="4" t="n">
        <v>46142</v>
      </c>
    </row>
    <row r="35" customFormat="false" ht="12.8" hidden="false" customHeight="false" outlineLevel="0" collapsed="false">
      <c r="A35" s="5"/>
      <c r="B35" s="1" t="s">
        <v>58</v>
      </c>
      <c r="C35" s="2" t="s">
        <v>59</v>
      </c>
      <c r="D35" s="3" t="n">
        <v>100000000</v>
      </c>
      <c r="E35" s="4" t="n">
        <v>46668</v>
      </c>
      <c r="F35" s="2" t="s">
        <v>10</v>
      </c>
      <c r="G35" s="4" t="n">
        <v>45941</v>
      </c>
    </row>
    <row r="36" customFormat="false" ht="12.8" hidden="false" customHeight="false" outlineLevel="0" collapsed="false">
      <c r="A36" s="5"/>
      <c r="B36" s="1" t="s">
        <v>60</v>
      </c>
      <c r="C36" s="2" t="s">
        <v>61</v>
      </c>
      <c r="D36" s="3" t="n">
        <v>140000000</v>
      </c>
      <c r="E36" s="4" t="n">
        <v>46262</v>
      </c>
      <c r="F36" s="2" t="s">
        <v>10</v>
      </c>
      <c r="G36" s="4" t="n">
        <v>45898</v>
      </c>
    </row>
    <row r="37" customFormat="false" ht="12.8" hidden="false" customHeight="false" outlineLevel="0" collapsed="false">
      <c r="A37" s="5"/>
      <c r="B37" s="1" t="s">
        <v>62</v>
      </c>
      <c r="C37" s="2" t="s">
        <v>63</v>
      </c>
      <c r="D37" s="3" t="n">
        <v>250000000</v>
      </c>
      <c r="E37" s="4" t="n">
        <v>46254</v>
      </c>
      <c r="F37" s="2" t="s">
        <v>10</v>
      </c>
      <c r="G37" s="4" t="n">
        <v>45890</v>
      </c>
    </row>
    <row r="38" customFormat="false" ht="12.8" hidden="false" customHeight="false" outlineLevel="0" collapsed="false">
      <c r="A38" s="5"/>
      <c r="B38" s="1" t="s">
        <v>64</v>
      </c>
      <c r="C38" s="2" t="s">
        <v>65</v>
      </c>
      <c r="D38" s="3" t="n">
        <v>44200000</v>
      </c>
      <c r="E38" s="4" t="n">
        <v>46195</v>
      </c>
      <c r="F38" s="2" t="s">
        <v>10</v>
      </c>
      <c r="G38" s="4" t="n">
        <v>46119</v>
      </c>
    </row>
    <row r="39" customFormat="false" ht="12.8" hidden="false" customHeight="false" outlineLevel="0" collapsed="false">
      <c r="A39" s="5"/>
      <c r="B39" s="1" t="s">
        <v>66</v>
      </c>
      <c r="C39" s="2" t="s">
        <v>67</v>
      </c>
      <c r="D39" s="3" t="n">
        <v>200000000</v>
      </c>
      <c r="E39" s="4" t="n">
        <v>46498</v>
      </c>
      <c r="F39" s="2" t="s">
        <v>10</v>
      </c>
      <c r="G39" s="4" t="n">
        <v>46143</v>
      </c>
    </row>
    <row r="40" customFormat="false" ht="12.8" hidden="false" customHeight="false" outlineLevel="0" collapsed="false">
      <c r="A40" s="5"/>
      <c r="C40" s="6" t="s">
        <v>40</v>
      </c>
      <c r="D40" s="7" t="n">
        <f aca="false">SUM(D34:D39)</f>
        <v>947357895</v>
      </c>
    </row>
    <row r="41" customFormat="false" ht="12.8" hidden="false" customHeight="false" outlineLevel="0" collapsed="false">
      <c r="A41" s="5" t="s">
        <v>68</v>
      </c>
    </row>
    <row r="42" customFormat="false" ht="12.8" hidden="false" customHeight="false" outlineLevel="0" collapsed="false">
      <c r="A42" s="5"/>
      <c r="B42" s="1" t="s">
        <v>69</v>
      </c>
      <c r="C42" s="2" t="s">
        <v>70</v>
      </c>
      <c r="D42" s="3" t="n">
        <v>99525317</v>
      </c>
    </row>
    <row r="43" customFormat="false" ht="12.8" hidden="false" customHeight="false" outlineLevel="0" collapsed="false">
      <c r="A43" s="5"/>
      <c r="C43" s="6" t="s">
        <v>40</v>
      </c>
      <c r="D43" s="7" t="n">
        <f aca="false">SUM(D42)</f>
        <v>99525317</v>
      </c>
      <c r="E43" s="4" t="n">
        <v>46458</v>
      </c>
      <c r="F43" s="2" t="s">
        <v>10</v>
      </c>
      <c r="G43" s="4" t="n">
        <v>46102</v>
      </c>
    </row>
    <row r="44" customFormat="false" ht="12.8" hidden="false" customHeight="false" outlineLevel="0" collapsed="false">
      <c r="A44" s="5" t="s">
        <v>71</v>
      </c>
    </row>
    <row r="45" customFormat="false" ht="12.8" hidden="false" customHeight="false" outlineLevel="0" collapsed="false">
      <c r="A45" s="5"/>
      <c r="B45" s="1" t="s">
        <v>72</v>
      </c>
      <c r="C45" s="2" t="s">
        <v>73</v>
      </c>
      <c r="D45" s="3" t="n">
        <v>165000000</v>
      </c>
      <c r="E45" s="4" t="n">
        <v>46339</v>
      </c>
      <c r="F45" s="2" t="s">
        <v>10</v>
      </c>
      <c r="G45" s="4" t="n">
        <v>45905</v>
      </c>
    </row>
    <row r="46" customFormat="false" ht="12.8" hidden="false" customHeight="false" outlineLevel="0" collapsed="false">
      <c r="A46" s="5"/>
      <c r="C46" s="6" t="s">
        <v>40</v>
      </c>
      <c r="D46" s="7" t="n">
        <f aca="false">SUM(D45)</f>
        <v>165000000</v>
      </c>
    </row>
    <row r="47" customFormat="false" ht="12.8" hidden="false" customHeight="false" outlineLevel="0" collapsed="false">
      <c r="A47" s="5" t="s">
        <v>74</v>
      </c>
    </row>
    <row r="48" customFormat="false" ht="12.8" hidden="false" customHeight="false" outlineLevel="0" collapsed="false">
      <c r="A48" s="5"/>
      <c r="B48" s="1" t="s">
        <v>75</v>
      </c>
      <c r="C48" s="2" t="s">
        <v>76</v>
      </c>
      <c r="D48" s="3" t="n">
        <v>200000000</v>
      </c>
      <c r="E48" s="4" t="n">
        <v>46934</v>
      </c>
      <c r="F48" s="2" t="s">
        <v>10</v>
      </c>
      <c r="G48" s="4" t="n">
        <v>46127</v>
      </c>
    </row>
    <row r="49" customFormat="false" ht="12.8" hidden="false" customHeight="false" outlineLevel="0" collapsed="false">
      <c r="A49" s="5"/>
      <c r="B49" s="1" t="s">
        <v>77</v>
      </c>
      <c r="C49" s="2" t="s">
        <v>78</v>
      </c>
      <c r="D49" s="3" t="n">
        <v>170000000</v>
      </c>
      <c r="E49" s="4" t="n">
        <v>46477</v>
      </c>
      <c r="F49" s="2" t="s">
        <v>10</v>
      </c>
      <c r="G49" s="4" t="n">
        <v>46114</v>
      </c>
    </row>
    <row r="50" customFormat="false" ht="12.8" hidden="false" customHeight="false" outlineLevel="0" collapsed="false">
      <c r="A50" s="5"/>
      <c r="C50" s="6" t="s">
        <v>40</v>
      </c>
      <c r="D50" s="7" t="n">
        <f aca="false">SUM(D48:D49)</f>
        <v>370000000</v>
      </c>
    </row>
    <row r="51" customFormat="false" ht="12.8" hidden="false" customHeight="false" outlineLevel="0" collapsed="false">
      <c r="A51" s="5" t="s">
        <v>79</v>
      </c>
    </row>
    <row r="52" customFormat="false" ht="12.8" hidden="false" customHeight="false" outlineLevel="0" collapsed="false">
      <c r="A52" s="5"/>
      <c r="B52" s="1" t="s">
        <v>80</v>
      </c>
      <c r="C52" s="2" t="s">
        <v>81</v>
      </c>
      <c r="D52" s="3" t="n">
        <v>240000000</v>
      </c>
      <c r="E52" s="4" t="n">
        <v>46304</v>
      </c>
      <c r="F52" s="2" t="s">
        <v>10</v>
      </c>
      <c r="G52" s="4" t="n">
        <v>46037</v>
      </c>
    </row>
    <row r="53" customFormat="false" ht="12.8" hidden="false" customHeight="false" outlineLevel="0" collapsed="false">
      <c r="A53" s="5"/>
      <c r="B53" s="1" t="s">
        <v>82</v>
      </c>
      <c r="C53" s="2" t="s">
        <v>83</v>
      </c>
      <c r="D53" s="3" t="n">
        <v>138000000</v>
      </c>
      <c r="E53" s="4" t="n">
        <v>46248</v>
      </c>
      <c r="F53" s="2" t="s">
        <v>10</v>
      </c>
      <c r="G53" s="4" t="n">
        <v>46113</v>
      </c>
    </row>
    <row r="54" customFormat="false" ht="12.8" hidden="false" customHeight="false" outlineLevel="0" collapsed="false">
      <c r="A54" s="5"/>
      <c r="B54" s="1" t="s">
        <v>84</v>
      </c>
      <c r="C54" s="2" t="s">
        <v>85</v>
      </c>
      <c r="D54" s="3" t="n">
        <v>143285718</v>
      </c>
      <c r="E54" s="4" t="n">
        <v>46238</v>
      </c>
      <c r="F54" s="2" t="s">
        <v>10</v>
      </c>
      <c r="G54" s="4" t="n">
        <v>45870</v>
      </c>
    </row>
    <row r="55" customFormat="false" ht="12.8" hidden="false" customHeight="false" outlineLevel="0" collapsed="false">
      <c r="A55" s="5"/>
      <c r="B55" s="1" t="s">
        <v>86</v>
      </c>
      <c r="C55" s="2" t="s">
        <v>87</v>
      </c>
      <c r="D55" s="3" t="n">
        <v>156250000</v>
      </c>
      <c r="E55" s="4" t="n">
        <v>46247</v>
      </c>
      <c r="F55" s="2" t="s">
        <v>10</v>
      </c>
      <c r="G55" s="4" t="n">
        <v>46126</v>
      </c>
    </row>
    <row r="56" customFormat="false" ht="12.8" hidden="false" customHeight="false" outlineLevel="0" collapsed="false">
      <c r="A56" s="5"/>
      <c r="C56" s="6" t="s">
        <v>40</v>
      </c>
      <c r="D56" s="7" t="n">
        <f aca="false">SUM(D52:D55)</f>
        <v>677535718</v>
      </c>
    </row>
    <row r="57" customFormat="false" ht="12.8" hidden="false" customHeight="false" outlineLevel="0" collapsed="false">
      <c r="A57" s="5" t="s">
        <v>88</v>
      </c>
    </row>
    <row r="58" customFormat="false" ht="12.8" hidden="false" customHeight="false" outlineLevel="0" collapsed="false">
      <c r="A58" s="5"/>
      <c r="B58" s="1" t="s">
        <v>89</v>
      </c>
      <c r="C58" s="2" t="s">
        <v>90</v>
      </c>
      <c r="D58" s="3" t="n">
        <v>292050000</v>
      </c>
      <c r="E58" s="4" t="n">
        <v>46197</v>
      </c>
      <c r="F58" s="2" t="s">
        <v>10</v>
      </c>
      <c r="G58" s="4" t="n">
        <v>45833</v>
      </c>
    </row>
    <row r="59" customFormat="false" ht="12.8" hidden="false" customHeight="false" outlineLevel="0" collapsed="false">
      <c r="A59" s="5"/>
      <c r="B59" s="1" t="s">
        <v>89</v>
      </c>
      <c r="C59" s="2" t="s">
        <v>91</v>
      </c>
      <c r="D59" s="3" t="n">
        <v>7950000</v>
      </c>
      <c r="E59" s="4" t="n">
        <v>46197</v>
      </c>
      <c r="F59" s="2" t="s">
        <v>10</v>
      </c>
      <c r="G59" s="4" t="n">
        <v>45833</v>
      </c>
    </row>
    <row r="60" customFormat="false" ht="12.8" hidden="false" customHeight="false" outlineLevel="0" collapsed="false">
      <c r="A60" s="5"/>
      <c r="C60" s="6" t="s">
        <v>40</v>
      </c>
      <c r="D60" s="7" t="n">
        <f aca="false">SUM(D58:D59)</f>
        <v>300000000</v>
      </c>
    </row>
    <row r="61" customFormat="false" ht="12.8" hidden="false" customHeight="false" outlineLevel="0" collapsed="false">
      <c r="A61" s="5" t="s">
        <v>92</v>
      </c>
    </row>
    <row r="62" customFormat="false" ht="12.8" hidden="false" customHeight="false" outlineLevel="0" collapsed="false">
      <c r="A62" s="5"/>
      <c r="B62" s="1" t="s">
        <v>93</v>
      </c>
      <c r="C62" s="2" t="s">
        <v>94</v>
      </c>
      <c r="D62" s="3" t="n">
        <v>150000000</v>
      </c>
      <c r="E62" s="4" t="n">
        <v>46864</v>
      </c>
      <c r="F62" s="2" t="s">
        <v>10</v>
      </c>
      <c r="G62" s="4" t="n">
        <v>46134</v>
      </c>
    </row>
    <row r="63" customFormat="false" ht="12.8" hidden="false" customHeight="false" outlineLevel="0" collapsed="false">
      <c r="A63" s="5"/>
      <c r="C63" s="6" t="s">
        <v>40</v>
      </c>
      <c r="D63" s="7" t="n">
        <f aca="false">SUM(D62)</f>
        <v>150000000</v>
      </c>
    </row>
    <row r="64" customFormat="false" ht="12.8" hidden="false" customHeight="false" outlineLevel="0" collapsed="false">
      <c r="A64" s="5" t="s">
        <v>95</v>
      </c>
    </row>
    <row r="65" customFormat="false" ht="12.8" hidden="false" customHeight="false" outlineLevel="0" collapsed="false">
      <c r="A65" s="5"/>
      <c r="B65" s="1" t="s">
        <v>96</v>
      </c>
      <c r="C65" s="2" t="s">
        <v>97</v>
      </c>
      <c r="D65" s="3" t="n">
        <v>180000000</v>
      </c>
      <c r="E65" s="4" t="n">
        <v>46415</v>
      </c>
      <c r="F65" s="2" t="s">
        <v>10</v>
      </c>
      <c r="G65" s="4" t="n">
        <v>46051</v>
      </c>
    </row>
    <row r="66" customFormat="false" ht="12.8" hidden="false" customHeight="false" outlineLevel="0" collapsed="false">
      <c r="A66" s="5"/>
      <c r="B66" s="1" t="s">
        <v>98</v>
      </c>
      <c r="C66" s="2" t="s">
        <v>99</v>
      </c>
      <c r="D66" s="3" t="n">
        <v>100480770</v>
      </c>
      <c r="E66" s="4" t="n">
        <v>46373</v>
      </c>
      <c r="F66" s="2" t="s">
        <v>10</v>
      </c>
      <c r="G66" s="4" t="n">
        <v>46142</v>
      </c>
    </row>
    <row r="67" customFormat="false" ht="12.8" hidden="false" customHeight="false" outlineLevel="0" collapsed="false">
      <c r="A67" s="5"/>
      <c r="B67" s="1" t="s">
        <v>100</v>
      </c>
      <c r="C67" s="2" t="s">
        <v>101</v>
      </c>
      <c r="D67" s="3" t="n">
        <v>105000000</v>
      </c>
      <c r="E67" s="4" t="n">
        <v>46534</v>
      </c>
      <c r="F67" s="2" t="s">
        <v>10</v>
      </c>
      <c r="G67" s="4" t="n">
        <v>46172</v>
      </c>
    </row>
    <row r="68" customFormat="false" ht="12.8" hidden="false" customHeight="false" outlineLevel="0" collapsed="false">
      <c r="A68" s="5"/>
      <c r="B68" s="1" t="s">
        <v>102</v>
      </c>
      <c r="C68" s="2" t="s">
        <v>103</v>
      </c>
      <c r="D68" s="3" t="n">
        <v>120000000</v>
      </c>
      <c r="E68" s="4" t="n">
        <v>46415</v>
      </c>
      <c r="F68" s="2" t="s">
        <v>10</v>
      </c>
      <c r="G68" s="4" t="n">
        <v>46051</v>
      </c>
    </row>
    <row r="69" customFormat="false" ht="12.8" hidden="false" customHeight="false" outlineLevel="0" collapsed="false">
      <c r="A69" s="5"/>
      <c r="B69" s="1" t="s">
        <v>104</v>
      </c>
      <c r="C69" s="2" t="s">
        <v>105</v>
      </c>
      <c r="D69" s="3" t="n">
        <v>75000000</v>
      </c>
      <c r="E69" s="4" t="n">
        <v>46197</v>
      </c>
      <c r="F69" s="2" t="s">
        <v>10</v>
      </c>
      <c r="G69" s="4" t="n">
        <v>46183</v>
      </c>
    </row>
    <row r="70" customFormat="false" ht="12.8" hidden="false" customHeight="false" outlineLevel="0" collapsed="false">
      <c r="A70" s="5"/>
      <c r="B70" s="1" t="s">
        <v>106</v>
      </c>
      <c r="C70" s="2" t="s">
        <v>107</v>
      </c>
      <c r="D70" s="3" t="n">
        <v>100480770</v>
      </c>
      <c r="E70" s="4" t="n">
        <v>46373</v>
      </c>
      <c r="F70" s="2" t="s">
        <v>10</v>
      </c>
      <c r="G70" s="4" t="n">
        <v>46142</v>
      </c>
    </row>
    <row r="71" customFormat="false" ht="12.8" hidden="false" customHeight="false" outlineLevel="0" collapsed="false">
      <c r="A71" s="5"/>
      <c r="B71" s="1" t="s">
        <v>108</v>
      </c>
      <c r="C71" s="2" t="s">
        <v>109</v>
      </c>
      <c r="D71" s="3" t="n">
        <v>75000000</v>
      </c>
      <c r="E71" s="4" t="n">
        <v>46197</v>
      </c>
      <c r="F71" s="2" t="s">
        <v>10</v>
      </c>
      <c r="G71" s="4" t="n">
        <v>46183</v>
      </c>
    </row>
    <row r="72" customFormat="false" ht="12.8" hidden="false" customHeight="false" outlineLevel="0" collapsed="false">
      <c r="A72" s="5"/>
      <c r="B72" s="1" t="s">
        <v>110</v>
      </c>
      <c r="C72" s="2" t="s">
        <v>111</v>
      </c>
      <c r="D72" s="3" t="n">
        <v>50000000</v>
      </c>
      <c r="E72" s="4" t="n">
        <v>46248</v>
      </c>
      <c r="F72" s="2" t="s">
        <v>10</v>
      </c>
      <c r="G72" s="4" t="n">
        <v>46122</v>
      </c>
    </row>
    <row r="73" customFormat="false" ht="12.8" hidden="false" customHeight="false" outlineLevel="0" collapsed="false">
      <c r="A73" s="5"/>
      <c r="B73" s="10" t="s">
        <v>112</v>
      </c>
      <c r="C73" s="2" t="s">
        <v>113</v>
      </c>
      <c r="D73" s="3" t="n">
        <v>50000000</v>
      </c>
      <c r="E73" s="4" t="n">
        <v>46248</v>
      </c>
      <c r="F73" s="2" t="s">
        <v>10</v>
      </c>
      <c r="G73" s="4" t="n">
        <v>46122</v>
      </c>
    </row>
    <row r="74" customFormat="false" ht="12.8" hidden="false" customHeight="false" outlineLevel="0" collapsed="false">
      <c r="A74" s="5"/>
      <c r="B74" s="1" t="s">
        <v>100</v>
      </c>
      <c r="C74" s="2" t="s">
        <v>114</v>
      </c>
      <c r="D74" s="3" t="n">
        <v>70000000</v>
      </c>
      <c r="E74" s="4" t="n">
        <v>46534</v>
      </c>
      <c r="F74" s="2" t="s">
        <v>10</v>
      </c>
      <c r="G74" s="4" t="n">
        <v>46170</v>
      </c>
    </row>
    <row r="75" customFormat="false" ht="12.8" hidden="false" customHeight="false" outlineLevel="0" collapsed="false">
      <c r="A75" s="5"/>
      <c r="C75" s="6" t="s">
        <v>40</v>
      </c>
      <c r="D75" s="7" t="n">
        <f aca="false">SUM(D65:D74)</f>
        <v>925961540</v>
      </c>
    </row>
    <row r="76" customFormat="false" ht="12.8" hidden="false" customHeight="false" outlineLevel="0" collapsed="false">
      <c r="A76" s="5" t="s">
        <v>115</v>
      </c>
    </row>
    <row r="77" customFormat="false" ht="12.8" hidden="false" customHeight="false" outlineLevel="0" collapsed="false">
      <c r="A77" s="5"/>
      <c r="B77" s="1" t="s">
        <v>116</v>
      </c>
      <c r="C77" s="2" t="s">
        <v>117</v>
      </c>
      <c r="D77" s="3" t="n">
        <v>164705883</v>
      </c>
      <c r="E77" s="4" t="n">
        <v>46360</v>
      </c>
      <c r="F77" s="2" t="s">
        <v>10</v>
      </c>
      <c r="G77" s="4" t="n">
        <v>45996</v>
      </c>
    </row>
    <row r="78" customFormat="false" ht="12.8" hidden="false" customHeight="false" outlineLevel="0" collapsed="false">
      <c r="A78" s="5"/>
      <c r="B78" s="1" t="s">
        <v>118</v>
      </c>
      <c r="C78" s="2" t="s">
        <v>119</v>
      </c>
      <c r="D78" s="3" t="n">
        <v>300000000</v>
      </c>
      <c r="E78" s="4" t="n">
        <v>46479</v>
      </c>
      <c r="F78" s="2" t="s">
        <v>10</v>
      </c>
      <c r="G78" s="4" t="n">
        <v>46158</v>
      </c>
    </row>
    <row r="79" customFormat="false" ht="12.8" hidden="false" customHeight="false" outlineLevel="0" collapsed="false">
      <c r="A79" s="5"/>
      <c r="C79" s="6" t="s">
        <v>40</v>
      </c>
      <c r="D79" s="7" t="n">
        <f aca="false">SUM(D76:D77)</f>
        <v>164705883</v>
      </c>
    </row>
    <row r="80" customFormat="false" ht="12.8" hidden="false" customHeight="false" outlineLevel="0" collapsed="false">
      <c r="A80" s="5" t="s">
        <v>120</v>
      </c>
    </row>
    <row r="81" customFormat="false" ht="12.8" hidden="false" customHeight="false" outlineLevel="0" collapsed="false">
      <c r="A81" s="5"/>
      <c r="B81" s="1" t="s">
        <v>121</v>
      </c>
      <c r="C81" s="2" t="s">
        <v>122</v>
      </c>
      <c r="D81" s="3" t="n">
        <v>75000000</v>
      </c>
      <c r="E81" s="4" t="n">
        <v>46528</v>
      </c>
      <c r="F81" s="2" t="s">
        <v>10</v>
      </c>
      <c r="G81" s="4" t="n">
        <v>46168</v>
      </c>
    </row>
    <row r="82" customFormat="false" ht="12.8" hidden="false" customHeight="false" outlineLevel="0" collapsed="false">
      <c r="A82" s="5"/>
      <c r="B82" s="1" t="s">
        <v>123</v>
      </c>
      <c r="C82" s="2" t="s">
        <v>124</v>
      </c>
      <c r="D82" s="3" t="n">
        <v>75000000</v>
      </c>
      <c r="E82" s="4" t="n">
        <v>46346</v>
      </c>
      <c r="F82" s="2" t="s">
        <v>10</v>
      </c>
      <c r="G82" s="4" t="n">
        <v>45987</v>
      </c>
    </row>
    <row r="83" customFormat="false" ht="12.8" hidden="false" customHeight="false" outlineLevel="0" collapsed="false">
      <c r="A83" s="5"/>
      <c r="C83" s="6" t="s">
        <v>40</v>
      </c>
      <c r="D83" s="7" t="n">
        <f aca="false">SUM(D81:D82)</f>
        <v>150000000</v>
      </c>
    </row>
    <row r="84" customFormat="false" ht="12.8" hidden="false" customHeight="false" outlineLevel="0" collapsed="false">
      <c r="A84" s="5" t="s">
        <v>125</v>
      </c>
    </row>
    <row r="85" customFormat="false" ht="12.8" hidden="false" customHeight="false" outlineLevel="0" collapsed="false">
      <c r="A85" s="5"/>
      <c r="B85" s="1" t="s">
        <v>126</v>
      </c>
      <c r="C85" s="2" t="s">
        <v>127</v>
      </c>
      <c r="D85" s="3" t="n">
        <v>125000000</v>
      </c>
      <c r="E85" s="4" t="n">
        <v>46309</v>
      </c>
      <c r="F85" s="2" t="s">
        <v>10</v>
      </c>
      <c r="G85" s="4" t="n">
        <v>45965</v>
      </c>
    </row>
    <row r="86" customFormat="false" ht="12.8" hidden="false" customHeight="false" outlineLevel="0" collapsed="false">
      <c r="A86" s="5"/>
      <c r="C86" s="6" t="s">
        <v>40</v>
      </c>
      <c r="D86" s="7" t="n">
        <f aca="false">SUM(D85)</f>
        <v>125000000</v>
      </c>
    </row>
    <row r="87" customFormat="false" ht="12.8" hidden="false" customHeight="false" outlineLevel="0" collapsed="false">
      <c r="A87" s="5" t="s">
        <v>128</v>
      </c>
    </row>
    <row r="88" customFormat="false" ht="12.8" hidden="false" customHeight="false" outlineLevel="0" collapsed="false">
      <c r="B88" s="1" t="s">
        <v>129</v>
      </c>
      <c r="C88" s="2" t="s">
        <v>130</v>
      </c>
      <c r="D88" s="3" t="n">
        <v>240119760</v>
      </c>
      <c r="E88" s="4" t="n">
        <v>46927</v>
      </c>
      <c r="F88" s="2" t="s">
        <v>10</v>
      </c>
      <c r="G88" s="4" t="n">
        <v>46162</v>
      </c>
    </row>
    <row r="89" customFormat="false" ht="12.8" hidden="false" customHeight="false" outlineLevel="0" collapsed="false">
      <c r="B89" s="1" t="s">
        <v>129</v>
      </c>
      <c r="C89" s="2" t="s">
        <v>131</v>
      </c>
      <c r="D89" s="3" t="n">
        <v>59880330</v>
      </c>
      <c r="E89" s="4" t="n">
        <v>46927</v>
      </c>
      <c r="F89" s="2" t="s">
        <v>10</v>
      </c>
      <c r="G89" s="4" t="n">
        <v>46162</v>
      </c>
    </row>
    <row r="90" customFormat="false" ht="12.8" hidden="false" customHeight="false" outlineLevel="0" collapsed="false">
      <c r="B90" s="1" t="s">
        <v>132</v>
      </c>
      <c r="C90" s="2" t="s">
        <v>133</v>
      </c>
      <c r="D90" s="3" t="n">
        <v>400000000</v>
      </c>
      <c r="E90" s="4" t="n">
        <v>46486</v>
      </c>
      <c r="F90" s="2" t="s">
        <v>10</v>
      </c>
      <c r="G90" s="4" t="n">
        <v>46143</v>
      </c>
    </row>
    <row r="91" customFormat="false" ht="12.8" hidden="false" customHeight="false" outlineLevel="0" collapsed="false">
      <c r="B91" s="1" t="s">
        <v>134</v>
      </c>
      <c r="C91" s="2" t="s">
        <v>135</v>
      </c>
      <c r="D91" s="3" t="n">
        <v>27376000</v>
      </c>
      <c r="E91" s="4" t="n">
        <v>46213</v>
      </c>
      <c r="F91" s="2" t="s">
        <v>10</v>
      </c>
      <c r="G91" s="4" t="n">
        <v>45945</v>
      </c>
    </row>
    <row r="92" customFormat="false" ht="12.8" hidden="false" customHeight="false" outlineLevel="0" collapsed="false">
      <c r="B92" s="1" t="s">
        <v>136</v>
      </c>
      <c r="C92" s="2" t="s">
        <v>137</v>
      </c>
      <c r="D92" s="3" t="n">
        <v>135000000</v>
      </c>
      <c r="E92" s="4" t="n">
        <v>47242</v>
      </c>
      <c r="F92" s="2" t="s">
        <v>10</v>
      </c>
      <c r="G92" s="4" t="n">
        <v>46151</v>
      </c>
    </row>
    <row r="93" customFormat="false" ht="12.8" hidden="false" customHeight="false" outlineLevel="0" collapsed="false">
      <c r="B93" s="1" t="s">
        <v>138</v>
      </c>
      <c r="C93" s="2" t="s">
        <v>139</v>
      </c>
      <c r="D93" s="3" t="n">
        <v>132134434</v>
      </c>
      <c r="E93" s="4" t="n">
        <v>46843</v>
      </c>
      <c r="F93" s="2" t="s">
        <v>10</v>
      </c>
      <c r="G93" s="4" t="n">
        <v>46112</v>
      </c>
    </row>
    <row r="94" customFormat="false" ht="12.8" hidden="false" customHeight="false" outlineLevel="0" collapsed="false">
      <c r="B94" s="1" t="s">
        <v>140</v>
      </c>
      <c r="C94" s="2" t="s">
        <v>141</v>
      </c>
      <c r="D94" s="3" t="n">
        <v>300000000</v>
      </c>
      <c r="E94" s="4" t="n">
        <v>46738</v>
      </c>
      <c r="F94" s="2" t="s">
        <v>10</v>
      </c>
      <c r="G94" s="4" t="n">
        <v>46015</v>
      </c>
    </row>
    <row r="95" customFormat="false" ht="12.8" hidden="false" customHeight="false" outlineLevel="0" collapsed="false">
      <c r="B95" s="1" t="s">
        <v>142</v>
      </c>
      <c r="C95" s="2" t="s">
        <v>143</v>
      </c>
      <c r="D95" s="3" t="n">
        <v>150000000</v>
      </c>
      <c r="E95" s="4" t="n">
        <v>46542</v>
      </c>
      <c r="F95" s="2" t="s">
        <v>10</v>
      </c>
      <c r="G95" s="4" t="n">
        <v>46179</v>
      </c>
    </row>
    <row r="96" customFormat="false" ht="12.8" hidden="false" customHeight="false" outlineLevel="0" collapsed="false">
      <c r="B96" s="1" t="s">
        <v>144</v>
      </c>
      <c r="C96" s="2" t="s">
        <v>145</v>
      </c>
      <c r="D96" s="3" t="n">
        <v>230000000</v>
      </c>
      <c r="E96" s="4" t="n">
        <v>46864</v>
      </c>
      <c r="F96" s="2" t="s">
        <v>10</v>
      </c>
      <c r="G96" s="4" t="n">
        <v>46142</v>
      </c>
    </row>
    <row r="97" customFormat="false" ht="12.8" hidden="false" customHeight="false" outlineLevel="0" collapsed="false">
      <c r="B97" s="1" t="s">
        <v>146</v>
      </c>
      <c r="C97" s="2" t="s">
        <v>147</v>
      </c>
      <c r="D97" s="3" t="n">
        <v>215000000</v>
      </c>
      <c r="E97" s="4" t="n">
        <v>46262</v>
      </c>
      <c r="F97" s="2" t="s">
        <v>10</v>
      </c>
      <c r="G97" s="4" t="n">
        <v>46044</v>
      </c>
    </row>
    <row r="98" customFormat="false" ht="12.8" hidden="false" customHeight="false" outlineLevel="0" collapsed="false">
      <c r="B98" s="1" t="s">
        <v>148</v>
      </c>
      <c r="C98" s="2" t="s">
        <v>149</v>
      </c>
      <c r="D98" s="3" t="n">
        <v>245714285</v>
      </c>
      <c r="E98" s="4" t="n">
        <v>46752</v>
      </c>
      <c r="F98" s="2" t="s">
        <v>10</v>
      </c>
      <c r="G98" s="4" t="n">
        <v>46051</v>
      </c>
    </row>
    <row r="99" customFormat="false" ht="12.8" hidden="false" customHeight="false" outlineLevel="0" collapsed="false">
      <c r="B99" s="1" t="s">
        <v>150</v>
      </c>
      <c r="C99" s="2" t="s">
        <v>151</v>
      </c>
      <c r="D99" s="3" t="n">
        <v>273000000</v>
      </c>
      <c r="E99" s="4" t="n">
        <v>46199</v>
      </c>
      <c r="F99" s="2" t="s">
        <v>10</v>
      </c>
      <c r="G99" s="4" t="n">
        <v>45839</v>
      </c>
    </row>
    <row r="100" customFormat="false" ht="12.8" hidden="false" customHeight="false" outlineLevel="0" collapsed="false">
      <c r="B100" s="1" t="s">
        <v>152</v>
      </c>
      <c r="C100" s="2" t="s">
        <v>153</v>
      </c>
      <c r="D100" s="3" t="n">
        <v>200000000</v>
      </c>
      <c r="E100" s="4" t="n">
        <v>46280</v>
      </c>
      <c r="F100" s="2" t="s">
        <v>10</v>
      </c>
      <c r="G100" s="4" t="n">
        <v>46071</v>
      </c>
    </row>
    <row r="101" customFormat="false" ht="12.8" hidden="false" customHeight="false" outlineLevel="0" collapsed="false">
      <c r="B101" s="1" t="s">
        <v>154</v>
      </c>
      <c r="C101" s="2" t="s">
        <v>155</v>
      </c>
      <c r="D101" s="3" t="n">
        <v>175000000</v>
      </c>
      <c r="E101" s="4" t="n">
        <v>46430</v>
      </c>
      <c r="F101" s="2" t="s">
        <v>10</v>
      </c>
      <c r="G101" s="4" t="n">
        <v>46126</v>
      </c>
    </row>
    <row r="102" customFormat="false" ht="12.8" hidden="false" customHeight="false" outlineLevel="0" collapsed="false">
      <c r="B102" s="1" t="s">
        <v>142</v>
      </c>
      <c r="C102" s="2" t="s">
        <v>143</v>
      </c>
      <c r="D102" s="3" t="n">
        <v>150000000</v>
      </c>
      <c r="E102" s="4" t="n">
        <v>46542</v>
      </c>
      <c r="F102" s="2" t="s">
        <v>10</v>
      </c>
      <c r="G102" s="4" t="n">
        <v>46178</v>
      </c>
    </row>
    <row r="103" customFormat="false" ht="12.8" hidden="false" customHeight="false" outlineLevel="0" collapsed="false">
      <c r="B103" s="1" t="s">
        <v>156</v>
      </c>
      <c r="C103" s="2" t="s">
        <v>157</v>
      </c>
      <c r="D103" s="3" t="n">
        <v>250000000</v>
      </c>
      <c r="E103" s="4" t="n">
        <v>46513</v>
      </c>
      <c r="F103" s="2" t="s">
        <v>10</v>
      </c>
      <c r="G103" s="4" t="n">
        <v>46153</v>
      </c>
    </row>
    <row r="104" customFormat="false" ht="12.8" hidden="false" customHeight="false" outlineLevel="0" collapsed="false">
      <c r="C104" s="6" t="s">
        <v>40</v>
      </c>
      <c r="D104" s="7" t="n">
        <f aca="false">SUM(D88:D103)</f>
        <v>3183224809</v>
      </c>
    </row>
    <row r="105" customFormat="false" ht="12.8" hidden="false" customHeight="false" outlineLevel="0" collapsed="false">
      <c r="C105" s="6" t="s">
        <v>158</v>
      </c>
      <c r="D105" s="7" t="n">
        <v>10555217539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11"/>
    <col collapsed="false" customWidth="true" hidden="false" outlineLevel="0" max="2" min="2" style="1" width="32.94"/>
    <col collapsed="false" customWidth="true" hidden="false" outlineLevel="0" max="3" min="3" style="1" width="69.34"/>
    <col collapsed="false" customWidth="true" hidden="false" outlineLevel="0" max="4" min="4" style="1" width="38.45"/>
    <col collapsed="false" customWidth="true" hidden="false" outlineLevel="0" max="5" min="5" style="1" width="45.88"/>
  </cols>
  <sheetData>
    <row r="1" customFormat="false" ht="12.8" hidden="false" customHeight="false" outlineLevel="0" collapsed="false">
      <c r="A1" s="5" t="s">
        <v>159</v>
      </c>
      <c r="B1" s="5" t="s">
        <v>0</v>
      </c>
      <c r="C1" s="5" t="s">
        <v>160</v>
      </c>
      <c r="D1" s="5" t="s">
        <v>161</v>
      </c>
      <c r="E1" s="5" t="s">
        <v>162</v>
      </c>
    </row>
    <row r="2" customFormat="false" ht="12.8" hidden="false" customHeight="false" outlineLevel="0" collapsed="false">
      <c r="A2" s="1" t="s">
        <v>163</v>
      </c>
      <c r="B2" s="5" t="s">
        <v>55</v>
      </c>
      <c r="C2" s="1" t="s">
        <v>164</v>
      </c>
      <c r="D2" s="1" t="s">
        <v>165</v>
      </c>
    </row>
    <row r="3" customFormat="false" ht="13" hidden="false" customHeight="false" outlineLevel="0" collapsed="false">
      <c r="C3" s="1" t="s">
        <v>166</v>
      </c>
      <c r="D3" s="1" t="s">
        <v>167</v>
      </c>
    </row>
    <row r="4" customFormat="false" ht="12.8" hidden="false" customHeight="false" outlineLevel="0" collapsed="false">
      <c r="C4" s="1" t="s">
        <v>168</v>
      </c>
      <c r="D4" s="1" t="s">
        <v>169</v>
      </c>
    </row>
    <row r="5" customFormat="false" ht="12.8" hidden="false" customHeight="false" outlineLevel="0" collapsed="false">
      <c r="C5" s="1" t="s">
        <v>170</v>
      </c>
      <c r="D5" s="1" t="s">
        <v>171</v>
      </c>
    </row>
    <row r="6" customFormat="false" ht="12.8" hidden="false" customHeight="false" outlineLevel="0" collapsed="false">
      <c r="C6" s="1" t="s">
        <v>172</v>
      </c>
      <c r="D6" s="1" t="s">
        <v>173</v>
      </c>
    </row>
    <row r="7" customFormat="false" ht="12.8" hidden="false" customHeight="false" outlineLevel="0" collapsed="false">
      <c r="C7" s="1" t="s">
        <v>174</v>
      </c>
      <c r="D7" s="1" t="s">
        <v>175</v>
      </c>
    </row>
    <row r="8" customFormat="false" ht="12.8" hidden="false" customHeight="false" outlineLevel="0" collapsed="false">
      <c r="C8" s="1" t="s">
        <v>176</v>
      </c>
      <c r="D8" s="1" t="s">
        <v>177</v>
      </c>
    </row>
    <row r="9" customFormat="false" ht="12.8" hidden="false" customHeight="false" outlineLevel="0" collapsed="false">
      <c r="C9" s="1" t="s">
        <v>178</v>
      </c>
      <c r="D9" s="1" t="s">
        <v>179</v>
      </c>
    </row>
    <row r="10" customFormat="false" ht="12.8" hidden="false" customHeight="false" outlineLevel="0" collapsed="false">
      <c r="C10" s="1" t="s">
        <v>180</v>
      </c>
      <c r="D10" s="1" t="s">
        <v>181</v>
      </c>
    </row>
    <row r="11" customFormat="false" ht="12.8" hidden="false" customHeight="false" outlineLevel="0" collapsed="false">
      <c r="C11" s="1" t="s">
        <v>182</v>
      </c>
      <c r="D11" s="1" t="s">
        <v>183</v>
      </c>
    </row>
    <row r="12" customFormat="false" ht="12.8" hidden="false" customHeight="false" outlineLevel="0" collapsed="false">
      <c r="D12" s="1" t="s">
        <v>184</v>
      </c>
    </row>
    <row r="13" customFormat="false" ht="12.8" hidden="false" customHeight="false" outlineLevel="0" collapsed="false">
      <c r="D13" s="1" t="s">
        <v>185</v>
      </c>
    </row>
    <row r="14" customFormat="false" ht="12.8" hidden="false" customHeight="false" outlineLevel="0" collapsed="false">
      <c r="D14" s="1" t="s">
        <v>186</v>
      </c>
    </row>
    <row r="16" customFormat="false" ht="12.8" hidden="false" customHeight="false" outlineLevel="0" collapsed="false">
      <c r="A16" s="1" t="s">
        <v>187</v>
      </c>
      <c r="B16" s="5" t="s">
        <v>188</v>
      </c>
      <c r="C16" s="1" t="s">
        <v>189</v>
      </c>
      <c r="D16" s="1" t="s">
        <v>190</v>
      </c>
    </row>
    <row r="17" customFormat="false" ht="12.8" hidden="false" customHeight="false" outlineLevel="0" collapsed="false">
      <c r="C17" s="1" t="s">
        <v>191</v>
      </c>
      <c r="D17" s="1" t="s">
        <v>165</v>
      </c>
    </row>
    <row r="18" customFormat="false" ht="12.8" hidden="false" customHeight="false" outlineLevel="0" collapsed="false">
      <c r="C18" s="1" t="s">
        <v>192</v>
      </c>
      <c r="D18" s="1" t="s">
        <v>193</v>
      </c>
    </row>
    <row r="19" customFormat="false" ht="12.8" hidden="false" customHeight="false" outlineLevel="0" collapsed="false">
      <c r="C19" s="1" t="s">
        <v>194</v>
      </c>
      <c r="D19" s="1" t="s">
        <v>195</v>
      </c>
    </row>
    <row r="20" customFormat="false" ht="12.8" hidden="false" customHeight="false" outlineLevel="0" collapsed="false">
      <c r="C20" s="1" t="s">
        <v>196</v>
      </c>
      <c r="D20" s="1" t="s">
        <v>197</v>
      </c>
    </row>
    <row r="21" customFormat="false" ht="12.8" hidden="false" customHeight="false" outlineLevel="0" collapsed="false">
      <c r="D21" s="1" t="s">
        <v>198</v>
      </c>
    </row>
    <row r="22" customFormat="false" ht="12.8" hidden="false" customHeight="false" outlineLevel="0" collapsed="false">
      <c r="D22" s="1" t="s">
        <v>179</v>
      </c>
    </row>
    <row r="23" customFormat="false" ht="12.8" hidden="false" customHeight="false" outlineLevel="0" collapsed="false">
      <c r="D23" s="1" t="s">
        <v>199</v>
      </c>
    </row>
    <row r="24" customFormat="false" ht="12.8" hidden="false" customHeight="false" outlineLevel="0" collapsed="false">
      <c r="D24" s="1" t="s">
        <v>183</v>
      </c>
    </row>
    <row r="25" customFormat="false" ht="12.8" hidden="false" customHeight="false" outlineLevel="0" collapsed="false">
      <c r="D25" s="1" t="s">
        <v>200</v>
      </c>
    </row>
    <row r="26" customFormat="false" ht="12.8" hidden="false" customHeight="false" outlineLevel="0" collapsed="false">
      <c r="D26" s="1" t="s">
        <v>201</v>
      </c>
    </row>
    <row r="27" customFormat="false" ht="12.8" hidden="false" customHeight="false" outlineLevel="0" collapsed="false">
      <c r="D27" s="1" t="s">
        <v>202</v>
      </c>
    </row>
    <row r="28" customFormat="false" ht="12.8" hidden="false" customHeight="false" outlineLevel="0" collapsed="false">
      <c r="D28" s="1" t="s">
        <v>203</v>
      </c>
    </row>
    <row r="30" customFormat="false" ht="12.8" hidden="false" customHeight="false" outlineLevel="0" collapsed="false">
      <c r="A30" s="1" t="s">
        <v>204</v>
      </c>
      <c r="B30" s="5" t="s">
        <v>188</v>
      </c>
      <c r="C30" s="1" t="s">
        <v>189</v>
      </c>
      <c r="D30" s="1" t="s">
        <v>205</v>
      </c>
    </row>
    <row r="31" customFormat="false" ht="13" hidden="false" customHeight="false" outlineLevel="0" collapsed="false">
      <c r="C31" s="1" t="s">
        <v>206</v>
      </c>
      <c r="D31" s="1" t="s">
        <v>207</v>
      </c>
    </row>
    <row r="32" customFormat="false" ht="12.8" hidden="false" customHeight="false" outlineLevel="0" collapsed="false">
      <c r="C32" s="1" t="s">
        <v>208</v>
      </c>
      <c r="D32" s="1" t="s">
        <v>209</v>
      </c>
    </row>
    <row r="33" customFormat="false" ht="12.8" hidden="false" customHeight="false" outlineLevel="0" collapsed="false">
      <c r="C33" s="1" t="s">
        <v>210</v>
      </c>
      <c r="D33" s="1" t="s">
        <v>211</v>
      </c>
    </row>
    <row r="34" customFormat="false" ht="12.8" hidden="false" customHeight="false" outlineLevel="0" collapsed="false">
      <c r="C34" s="1" t="s">
        <v>212</v>
      </c>
      <c r="D34" s="1" t="s">
        <v>213</v>
      </c>
    </row>
    <row r="35" customFormat="false" ht="12.8" hidden="false" customHeight="false" outlineLevel="0" collapsed="false">
      <c r="C35" s="1" t="s">
        <v>214</v>
      </c>
      <c r="D35" s="1" t="s">
        <v>215</v>
      </c>
    </row>
    <row r="36" customFormat="false" ht="12.8" hidden="false" customHeight="false" outlineLevel="0" collapsed="false">
      <c r="C36" s="1" t="s">
        <v>216</v>
      </c>
      <c r="D36" s="1" t="s">
        <v>217</v>
      </c>
    </row>
    <row r="37" customFormat="false" ht="12.8" hidden="false" customHeight="false" outlineLevel="0" collapsed="false">
      <c r="C37" s="1" t="s">
        <v>218</v>
      </c>
      <c r="D37" s="1" t="s">
        <v>183</v>
      </c>
    </row>
    <row r="39" customFormat="false" ht="12.8" hidden="false" customHeight="false" outlineLevel="0" collapsed="false">
      <c r="A39" s="1" t="s">
        <v>219</v>
      </c>
      <c r="B39" s="5" t="s">
        <v>55</v>
      </c>
      <c r="C39" s="1" t="s">
        <v>220</v>
      </c>
      <c r="D39" s="1" t="s">
        <v>165</v>
      </c>
      <c r="E39" s="11" t="s">
        <v>221</v>
      </c>
    </row>
    <row r="40" customFormat="false" ht="13" hidden="false" customHeight="false" outlineLevel="0" collapsed="false">
      <c r="C40" s="1" t="s">
        <v>222</v>
      </c>
      <c r="D40" s="1" t="s">
        <v>169</v>
      </c>
      <c r="E40" s="12" t="s">
        <v>223</v>
      </c>
    </row>
    <row r="41" customFormat="false" ht="12.8" hidden="false" customHeight="false" outlineLevel="0" collapsed="false">
      <c r="C41" s="1" t="s">
        <v>224</v>
      </c>
      <c r="D41" s="1" t="s">
        <v>171</v>
      </c>
      <c r="E41" s="13" t="s">
        <v>225</v>
      </c>
    </row>
    <row r="42" customFormat="false" ht="12.8" hidden="false" customHeight="false" outlineLevel="0" collapsed="false">
      <c r="C42" s="1" t="s">
        <v>226</v>
      </c>
      <c r="D42" s="1" t="s">
        <v>173</v>
      </c>
      <c r="E42" s="14" t="s">
        <v>227</v>
      </c>
    </row>
    <row r="43" customFormat="false" ht="12.8" hidden="false" customHeight="false" outlineLevel="0" collapsed="false">
      <c r="C43" s="1" t="s">
        <v>172</v>
      </c>
      <c r="D43" s="1" t="s">
        <v>175</v>
      </c>
    </row>
    <row r="44" customFormat="false" ht="13" hidden="false" customHeight="false" outlineLevel="0" collapsed="false">
      <c r="C44" s="1" t="s">
        <v>228</v>
      </c>
      <c r="D44" s="1" t="s">
        <v>177</v>
      </c>
    </row>
    <row r="45" customFormat="false" ht="13" hidden="false" customHeight="false" outlineLevel="0" collapsed="false">
      <c r="C45" s="1" t="s">
        <v>176</v>
      </c>
      <c r="D45" s="1" t="s">
        <v>179</v>
      </c>
    </row>
    <row r="46" customFormat="false" ht="13" hidden="false" customHeight="false" outlineLevel="0" collapsed="false">
      <c r="C46" s="1" t="s">
        <v>182</v>
      </c>
      <c r="D46" s="1" t="s">
        <v>181</v>
      </c>
    </row>
    <row r="47" customFormat="false" ht="12.8" hidden="false" customHeight="false" outlineLevel="0" collapsed="false">
      <c r="D47" s="1" t="s">
        <v>183</v>
      </c>
    </row>
    <row r="48" customFormat="false" ht="12.8" hidden="false" customHeight="false" outlineLevel="0" collapsed="false">
      <c r="D48" s="1" t="s">
        <v>200</v>
      </c>
    </row>
    <row r="49" customFormat="false" ht="12.8" hidden="false" customHeight="false" outlineLevel="0" collapsed="false">
      <c r="D49" s="1" t="s">
        <v>184</v>
      </c>
    </row>
    <row r="50" customFormat="false" ht="12.8" hidden="false" customHeight="false" outlineLevel="0" collapsed="false">
      <c r="D50" s="1" t="s">
        <v>185</v>
      </c>
    </row>
    <row r="52" customFormat="false" ht="12.8" hidden="false" customHeight="false" outlineLevel="0" collapsed="false">
      <c r="A52" s="1" t="s">
        <v>229</v>
      </c>
      <c r="B52" s="5" t="s">
        <v>7</v>
      </c>
      <c r="C52" s="1" t="s">
        <v>230</v>
      </c>
      <c r="D52" s="1" t="s">
        <v>165</v>
      </c>
    </row>
    <row r="53" customFormat="false" ht="13" hidden="false" customHeight="false" outlineLevel="0" collapsed="false">
      <c r="C53" s="1" t="s">
        <v>231</v>
      </c>
      <c r="D53" s="1" t="s">
        <v>232</v>
      </c>
    </row>
    <row r="54" customFormat="false" ht="12.8" hidden="false" customHeight="false" outlineLevel="0" collapsed="false">
      <c r="C54" s="1" t="s">
        <v>233</v>
      </c>
      <c r="D54" s="1" t="s">
        <v>234</v>
      </c>
    </row>
    <row r="55" customFormat="false" ht="12.8" hidden="false" customHeight="false" outlineLevel="0" collapsed="false">
      <c r="D55" s="1" t="s">
        <v>235</v>
      </c>
    </row>
    <row r="56" customFormat="false" ht="12.8" hidden="false" customHeight="false" outlineLevel="0" collapsed="false">
      <c r="D56" s="1" t="s">
        <v>236</v>
      </c>
    </row>
    <row r="57" customFormat="false" ht="12.8" hidden="false" customHeight="false" outlineLevel="0" collapsed="false">
      <c r="D57" s="1" t="s">
        <v>179</v>
      </c>
    </row>
    <row r="58" customFormat="false" ht="12.8" hidden="false" customHeight="false" outlineLevel="0" collapsed="false">
      <c r="D58" s="1" t="s">
        <v>237</v>
      </c>
    </row>
    <row r="59" customFormat="false" ht="12.8" hidden="false" customHeight="false" outlineLevel="0" collapsed="false">
      <c r="D59" s="1" t="s">
        <v>200</v>
      </c>
    </row>
    <row r="60" customFormat="false" ht="12.8" hidden="false" customHeight="false" outlineLevel="0" collapsed="false">
      <c r="D60" s="1" t="s">
        <v>238</v>
      </c>
    </row>
    <row r="61" customFormat="false" ht="12.8" hidden="false" customHeight="false" outlineLevel="0" collapsed="false">
      <c r="D61" s="1" t="s">
        <v>185</v>
      </c>
    </row>
    <row r="62" customFormat="false" ht="12.8" hidden="false" customHeight="false" outlineLevel="0" collapsed="false">
      <c r="D62" s="1" t="s">
        <v>239</v>
      </c>
    </row>
    <row r="64" customFormat="false" ht="12.8" hidden="false" customHeight="false" outlineLevel="0" collapsed="false">
      <c r="A64" s="1" t="s">
        <v>240</v>
      </c>
      <c r="B64" s="5" t="s">
        <v>128</v>
      </c>
      <c r="C64" s="1" t="s">
        <v>241</v>
      </c>
      <c r="D64" s="1" t="s">
        <v>165</v>
      </c>
    </row>
    <row r="65" customFormat="false" ht="13" hidden="false" customHeight="false" outlineLevel="0" collapsed="false">
      <c r="C65" s="1" t="s">
        <v>242</v>
      </c>
      <c r="D65" s="1" t="s">
        <v>243</v>
      </c>
      <c r="E65" s="15" t="s">
        <v>244</v>
      </c>
    </row>
    <row r="66" customFormat="false" ht="13" hidden="false" customHeight="false" outlineLevel="0" collapsed="false">
      <c r="C66" s="1" t="s">
        <v>245</v>
      </c>
      <c r="D66" s="1" t="s">
        <v>171</v>
      </c>
      <c r="E66" s="16" t="s">
        <v>246</v>
      </c>
    </row>
    <row r="67" customFormat="false" ht="12.8" hidden="false" customHeight="false" outlineLevel="0" collapsed="false">
      <c r="C67" s="1" t="s">
        <v>247</v>
      </c>
      <c r="D67" s="1" t="s">
        <v>169</v>
      </c>
    </row>
    <row r="68" customFormat="false" ht="12.8" hidden="false" customHeight="false" outlineLevel="0" collapsed="false">
      <c r="C68" s="1" t="s">
        <v>248</v>
      </c>
      <c r="D68" s="1" t="s">
        <v>249</v>
      </c>
    </row>
    <row r="69" customFormat="false" ht="12.8" hidden="false" customHeight="false" outlineLevel="0" collapsed="false">
      <c r="C69" s="1" t="s">
        <v>250</v>
      </c>
      <c r="D69" s="1" t="s">
        <v>251</v>
      </c>
    </row>
    <row r="70" customFormat="false" ht="12.8" hidden="false" customHeight="false" outlineLevel="0" collapsed="false">
      <c r="C70" s="1" t="s">
        <v>252</v>
      </c>
      <c r="D70" s="1" t="s">
        <v>253</v>
      </c>
    </row>
    <row r="71" customFormat="false" ht="12.8" hidden="false" customHeight="false" outlineLevel="0" collapsed="false">
      <c r="C71" s="1" t="s">
        <v>254</v>
      </c>
      <c r="D71" s="1" t="s">
        <v>255</v>
      </c>
    </row>
    <row r="72" customFormat="false" ht="12.8" hidden="false" customHeight="false" outlineLevel="0" collapsed="false">
      <c r="D72" s="1" t="s">
        <v>256</v>
      </c>
    </row>
    <row r="73" customFormat="false" ht="12.8" hidden="false" customHeight="false" outlineLevel="0" collapsed="false">
      <c r="D73" s="1" t="s">
        <v>257</v>
      </c>
    </row>
    <row r="74" customFormat="false" ht="12.8" hidden="false" customHeight="false" outlineLevel="0" collapsed="false">
      <c r="D74" s="1" t="s">
        <v>181</v>
      </c>
    </row>
    <row r="75" customFormat="false" ht="12.8" hidden="false" customHeight="false" outlineLevel="0" collapsed="false">
      <c r="D75" s="1" t="s">
        <v>258</v>
      </c>
    </row>
    <row r="76" customFormat="false" ht="12.8" hidden="false" customHeight="false" outlineLevel="0" collapsed="false">
      <c r="D76" s="1" t="s">
        <v>183</v>
      </c>
    </row>
    <row r="77" customFormat="false" ht="12.8" hidden="false" customHeight="false" outlineLevel="0" collapsed="false">
      <c r="D77" s="1" t="s">
        <v>200</v>
      </c>
    </row>
    <row r="78" customFormat="false" ht="12.8" hidden="false" customHeight="false" outlineLevel="0" collapsed="false">
      <c r="D78" s="1" t="s">
        <v>259</v>
      </c>
    </row>
    <row r="79" customFormat="false" ht="12.8" hidden="false" customHeight="false" outlineLevel="0" collapsed="false">
      <c r="D79" s="1" t="s">
        <v>185</v>
      </c>
    </row>
    <row r="80" customFormat="false" ht="12.8" hidden="false" customHeight="false" outlineLevel="0" collapsed="false">
      <c r="D80" s="1" t="s">
        <v>260</v>
      </c>
    </row>
    <row r="81" customFormat="false" ht="12.8" hidden="false" customHeight="false" outlineLevel="0" collapsed="false">
      <c r="D81" s="1" t="s">
        <v>261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2026-06-11T19:36:41Z</dcterms:created>
  <dc:creator/>
  <dc:description/>
  <dc:language>en-US</dc:language>
  <cp:lastModifiedBy/>
  <dcterms:modified xsi:type="dcterms:W3CDTF">2026-06-22T23:41:35Z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